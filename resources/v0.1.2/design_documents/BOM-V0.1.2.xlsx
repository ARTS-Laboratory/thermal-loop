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hermal-loop\resources\v0.1.2\design_documents\"/>
    </mc:Choice>
  </mc:AlternateContent>
  <xr:revisionPtr revIDLastSave="0" documentId="13_ncr:1_{32175D1D-5F07-4B8C-9BA3-FC15C9F4C689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4" i="1" l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<sst xmlns="http://schemas.openxmlformats.org/spreadsheetml/2006/main" count="446" uniqueCount="298">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</sst>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0" fillId="0" borderId="1" xfId="0" applyFill="1" applyBorder="1" applyAlignment="1">
      <alignment horizontal="left"/>
    </xf>
    <xf numFmtId="0" fontId="0" fillId="0" borderId="0" xfId="0" applyFill="1" applyAlignment="1">
      <alignment vertical="top"/>
    </xf>
    <xf numFmtId="0" fontId="6" fillId="0" borderId="1" xfId="0" applyFont="1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164" fontId="0" fillId="0" borderId="0" xfId="0" applyNumberFormat="1" applyFill="1" applyAlignment="1">
      <alignment vertical="center"/>
    </xf>
    <xf numFmtId="0" fontId="0" fillId="0" borderId="0" xfId="0" applyFill="1"/>
    <xf numFmtId="0" fontId="1" fillId="0" borderId="2" xfId="1" applyFill="1" applyBorder="1" applyAlignment="1">
      <alignment horizontal="left"/>
    </xf>
    <xf numFmtId="0" fontId="8" fillId="0" borderId="1" xfId="0" applyFont="1" applyFill="1" applyBorder="1" applyAlignment="1">
      <alignment horizontal="left"/>
    </xf>
    <xf numFmtId="0" fontId="0" fillId="0" borderId="2" xfId="0" applyFill="1" applyBorder="1" applyAlignment="1">
      <alignment horizontal="left"/>
    </xf>
    <xf numFmtId="0" fontId="0" fillId="0" borderId="0" xfId="0" applyFill="1" applyAlignment="1">
      <alignment vertical="center"/>
    </xf>
    <xf numFmtId="0" fontId="9" fillId="0" borderId="0" xfId="0" applyFont="1" applyFill="1"/>
    <xf numFmtId="0" fontId="3" fillId="0" borderId="1" xfId="0" applyFont="1" applyFill="1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0" borderId="0" xfId="0" applyFill="1" applyAlignment="1">
      <alignment horizontal="left"/>
    </xf>
    <xf numFmtId="0" fontId="0" fillId="0" borderId="3" xfId="0" applyFill="1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Fill="1" applyBorder="1" applyAlignment="1">
      <alignment horizontal="left" vertical="top"/>
    </xf>
    <xf numFmtId="0" fontId="10" fillId="0" borderId="0" xfId="0" applyFont="1" applyFill="1" applyAlignment="1">
      <alignment vertical="top" wrapText="1"/>
    </xf>
    <xf numFmtId="0" fontId="10" fillId="0" borderId="0" xfId="0" applyFont="1" applyFill="1" applyAlignment="1">
      <alignment vertical="top"/>
    </xf>
    <xf numFmtId="0" fontId="11" fillId="0" borderId="1" xfId="0" applyFont="1" applyFill="1" applyBorder="1" applyAlignment="1">
      <alignment horizontal="center" vertical="top"/>
    </xf>
    <xf numFmtId="164" fontId="11" fillId="0" borderId="0" xfId="0" applyNumberFormat="1" applyFont="1" applyFill="1" applyAlignment="1">
      <alignment vertical="top"/>
    </xf>
    <xf numFmtId="0" fontId="11" fillId="0" borderId="0" xfId="0" applyFont="1" applyFill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Fill="1" applyBorder="1" applyAlignment="1">
      <alignment horizontal="left" vertical="top"/>
    </xf>
    <xf numFmtId="0" fontId="13" fillId="0" borderId="0" xfId="0" applyFont="1" applyFill="1" applyAlignment="1">
      <alignment vertical="top" wrapText="1"/>
    </xf>
    <xf numFmtId="0" fontId="13" fillId="0" borderId="0" xfId="0" applyFont="1" applyFill="1" applyAlignment="1">
      <alignment vertical="top"/>
    </xf>
    <xf numFmtId="0" fontId="0" fillId="0" borderId="1" xfId="0" applyFill="1" applyBorder="1" applyAlignment="1">
      <alignment horizontal="center" vertical="top"/>
    </xf>
    <xf numFmtId="164" fontId="0" fillId="0" borderId="0" xfId="0" applyNumberFormat="1" applyFill="1" applyAlignment="1">
      <alignment vertical="top"/>
    </xf>
    <xf numFmtId="0" fontId="1" fillId="0" borderId="0" xfId="1" applyFill="1" applyAlignment="1">
      <alignment vertical="top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14" totalsRowShown="0" tableBorderDxfId="7">
  <autoFilter ref="A1:K114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printerSettings" Target="../printerSettings/printerSettings1.bin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table" Target="../tables/table1.xm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14"/>
  <sheetViews>
    <sheetView tabSelected="1" topLeftCell="A87" zoomScale="85" zoomScaleNormal="85" workbookViewId="0">
      <selection activeCell="H117" sqref="H117"/>
    </sheetView>
  </sheetViews>
  <sheetFormatPr defaultColWidth="8.7109375" defaultRowHeight="15" x14ac:dyDescent="0.25"/>
  <cols>
    <col min="1" max="1" width="39" customWidth="1"/>
    <col min="2" max="2" width="33.140625" customWidth="1"/>
    <col min="3" max="3" width="16.42578125" bestFit="1" customWidth="1"/>
    <col min="4" max="4" width="15.7109375" bestFit="1" customWidth="1"/>
    <col min="5" max="5" width="13.42578125" bestFit="1" customWidth="1"/>
    <col min="6" max="6" width="13.42578125" customWidth="1"/>
    <col min="7" max="7" width="13" customWidth="1"/>
    <col min="8" max="8" width="79" bestFit="1" customWidth="1"/>
    <col min="9" max="9" width="45.42578125" bestFit="1" customWidth="1"/>
    <col min="10" max="10" width="83.42578125" customWidth="1"/>
    <col min="11" max="11" width="62.42578125" customWidth="1"/>
    <col min="12" max="12" width="55.7109375" customWidth="1"/>
    <col min="13" max="13" width="51" customWidth="1"/>
  </cols>
  <sheetData>
    <row r="1" spans="1:13" ht="15" customHeight="1" x14ac:dyDescent="0.25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25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25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25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25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25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25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25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25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25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25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25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25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25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25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25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25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25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25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25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25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25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25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25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25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25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25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25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25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25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25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25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25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25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25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25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25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25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25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25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25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25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25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25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25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25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25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25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25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25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25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25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25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25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25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25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25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25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25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25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25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25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25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25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25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25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25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25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25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25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25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25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25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25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25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25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25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25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25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25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9" x14ac:dyDescent="0.25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9" x14ac:dyDescent="0.25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9" x14ac:dyDescent="0.25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9" x14ac:dyDescent="0.25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9" x14ac:dyDescent="0.25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9" x14ac:dyDescent="0.25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9" x14ac:dyDescent="0.25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9" x14ac:dyDescent="0.25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9" x14ac:dyDescent="0.25">
      <c r="A89" s="25" t="s">
        <v>66</v>
      </c>
      <c r="B89" s="26" t="s">
        <v>239</v>
      </c>
      <c r="C89" s="27" t="s">
        <v>146</v>
      </c>
      <c r="D89" s="28">
        <v>2</v>
      </c>
      <c r="E89" s="28">
        <v>14.63</v>
      </c>
      <c r="F89" s="29">
        <f t="shared" si="1"/>
        <v>29.26</v>
      </c>
      <c r="G89" s="30"/>
      <c r="H89" s="31" t="s">
        <v>239</v>
      </c>
      <c r="I89" s="30"/>
    </row>
    <row r="90" spans="1:9" x14ac:dyDescent="0.25">
      <c r="A90" s="25" t="s">
        <v>67</v>
      </c>
      <c r="B90" s="26" t="s">
        <v>240</v>
      </c>
      <c r="C90" s="32" t="s">
        <v>147</v>
      </c>
      <c r="D90" s="28">
        <v>4</v>
      </c>
      <c r="E90" s="28">
        <v>167.42</v>
      </c>
      <c r="F90" s="29">
        <f t="shared" si="1"/>
        <v>669.68</v>
      </c>
      <c r="G90" s="30"/>
      <c r="H90" s="31" t="s">
        <v>240</v>
      </c>
      <c r="I90" s="30"/>
    </row>
    <row r="91" spans="1:9" x14ac:dyDescent="0.25">
      <c r="A91" s="25" t="s">
        <v>46</v>
      </c>
      <c r="B91" s="26" t="s">
        <v>241</v>
      </c>
      <c r="C91" s="27" t="s">
        <v>148</v>
      </c>
      <c r="D91" s="28">
        <v>1</v>
      </c>
      <c r="E91" s="28">
        <v>12.61</v>
      </c>
      <c r="F91" s="29">
        <f t="shared" si="1"/>
        <v>12.61</v>
      </c>
      <c r="G91" s="30"/>
      <c r="H91" s="31" t="s">
        <v>241</v>
      </c>
      <c r="I91" s="30"/>
    </row>
    <row r="92" spans="1:9" x14ac:dyDescent="0.25">
      <c r="A92" s="25" t="s">
        <v>68</v>
      </c>
      <c r="B92" s="26"/>
      <c r="C92" s="25" t="s">
        <v>149</v>
      </c>
      <c r="D92" s="28">
        <v>2</v>
      </c>
      <c r="E92" s="28">
        <v>10.45</v>
      </c>
      <c r="F92" s="29">
        <f t="shared" si="1"/>
        <v>20.9</v>
      </c>
      <c r="G92" s="30"/>
      <c r="H92" s="33" t="s">
        <v>78</v>
      </c>
      <c r="I92" s="30"/>
    </row>
    <row r="93" spans="1:9" x14ac:dyDescent="0.25">
      <c r="A93" s="34" t="s">
        <v>264</v>
      </c>
      <c r="B93" s="34" t="s">
        <v>265</v>
      </c>
      <c r="C93" s="35" t="s">
        <v>266</v>
      </c>
      <c r="D93" s="34">
        <v>1</v>
      </c>
      <c r="E93" s="29">
        <v>110</v>
      </c>
      <c r="F93" s="29">
        <f t="shared" ref="F93:F95" si="2">D93*E93</f>
        <v>110</v>
      </c>
      <c r="G93" s="30"/>
      <c r="H93" s="33" t="s">
        <v>267</v>
      </c>
      <c r="I93" s="30"/>
    </row>
    <row r="94" spans="1:9" x14ac:dyDescent="0.25">
      <c r="A94" s="25" t="s">
        <v>268</v>
      </c>
      <c r="B94" s="26" t="s">
        <v>273</v>
      </c>
      <c r="C94" s="25" t="s">
        <v>274</v>
      </c>
      <c r="D94" s="28">
        <v>1</v>
      </c>
      <c r="E94" s="28">
        <v>13.55</v>
      </c>
      <c r="F94" s="29">
        <f t="shared" si="2"/>
        <v>13.55</v>
      </c>
      <c r="G94" s="30"/>
      <c r="H94" s="31" t="s">
        <v>271</v>
      </c>
      <c r="I94" s="30"/>
    </row>
    <row r="95" spans="1:9" x14ac:dyDescent="0.25">
      <c r="A95" s="25" t="s">
        <v>269</v>
      </c>
      <c r="B95" s="26" t="s">
        <v>272</v>
      </c>
      <c r="C95" s="25" t="s">
        <v>275</v>
      </c>
      <c r="D95" s="28">
        <v>1</v>
      </c>
      <c r="E95" s="28">
        <v>8.4700000000000006</v>
      </c>
      <c r="F95" s="29">
        <f t="shared" si="2"/>
        <v>8.4700000000000006</v>
      </c>
      <c r="G95" s="30"/>
      <c r="H95" s="31" t="s">
        <v>270</v>
      </c>
      <c r="I95" s="30"/>
    </row>
    <row r="96" spans="1:9" x14ac:dyDescent="0.25">
      <c r="A96" s="25" t="s">
        <v>68</v>
      </c>
      <c r="B96" s="26"/>
      <c r="C96" s="25" t="s">
        <v>150</v>
      </c>
      <c r="D96" s="28">
        <v>3</v>
      </c>
      <c r="E96" s="28">
        <v>2.1800000000000002</v>
      </c>
      <c r="F96" s="29">
        <f t="shared" si="1"/>
        <v>6.5400000000000009</v>
      </c>
      <c r="G96" s="30"/>
      <c r="H96" s="33" t="s">
        <v>78</v>
      </c>
      <c r="I96" s="30"/>
    </row>
    <row r="97" spans="1:11" x14ac:dyDescent="0.25">
      <c r="A97" s="25" t="s">
        <v>69</v>
      </c>
      <c r="B97" s="26"/>
      <c r="C97" s="25">
        <v>156665159304</v>
      </c>
      <c r="D97" s="28">
        <v>3</v>
      </c>
      <c r="E97" s="28">
        <v>35.97</v>
      </c>
      <c r="F97" s="29">
        <f t="shared" si="1"/>
        <v>107.91</v>
      </c>
      <c r="G97" s="30"/>
      <c r="H97" s="33" t="s">
        <v>78</v>
      </c>
      <c r="I97" s="30"/>
    </row>
    <row r="98" spans="1:11" x14ac:dyDescent="0.25">
      <c r="A98" s="25" t="s">
        <v>67</v>
      </c>
      <c r="B98" s="26" t="s">
        <v>240</v>
      </c>
      <c r="C98" s="25" t="s">
        <v>147</v>
      </c>
      <c r="D98" s="28">
        <v>3</v>
      </c>
      <c r="E98" s="28">
        <v>167.42</v>
      </c>
      <c r="F98" s="29">
        <f t="shared" si="1"/>
        <v>502.26</v>
      </c>
      <c r="G98" s="30"/>
      <c r="H98" s="31" t="s">
        <v>240</v>
      </c>
      <c r="I98" s="30"/>
    </row>
    <row r="99" spans="1:11" x14ac:dyDescent="0.25">
      <c r="A99" s="25" t="s">
        <v>70</v>
      </c>
      <c r="B99" s="26" t="s">
        <v>249</v>
      </c>
      <c r="C99" s="25">
        <v>316529</v>
      </c>
      <c r="D99" s="28">
        <v>1</v>
      </c>
      <c r="E99" s="28">
        <v>405</v>
      </c>
      <c r="F99" s="29">
        <f t="shared" si="1"/>
        <v>405</v>
      </c>
      <c r="G99" s="30"/>
      <c r="H99" s="31" t="s">
        <v>242</v>
      </c>
      <c r="I99" s="30"/>
    </row>
    <row r="100" spans="1:11" x14ac:dyDescent="0.25">
      <c r="A100" s="25" t="s">
        <v>66</v>
      </c>
      <c r="B100" s="26" t="s">
        <v>250</v>
      </c>
      <c r="C100" s="36" t="s">
        <v>151</v>
      </c>
      <c r="D100" s="28">
        <v>1</v>
      </c>
      <c r="E100" s="28">
        <v>37.4</v>
      </c>
      <c r="F100" s="29">
        <f t="shared" si="1"/>
        <v>37.4</v>
      </c>
      <c r="G100" s="30"/>
      <c r="H100" s="31" t="s">
        <v>243</v>
      </c>
      <c r="I100" s="30"/>
    </row>
    <row r="101" spans="1:11" x14ac:dyDescent="0.25">
      <c r="A101" s="25" t="s">
        <v>17</v>
      </c>
      <c r="B101" s="26" t="s">
        <v>244</v>
      </c>
      <c r="C101" s="36" t="s">
        <v>152</v>
      </c>
      <c r="D101" s="28">
        <v>1</v>
      </c>
      <c r="E101" s="28">
        <v>20.91</v>
      </c>
      <c r="F101" s="29">
        <f t="shared" si="1"/>
        <v>20.91</v>
      </c>
      <c r="G101" s="30"/>
      <c r="H101" s="31" t="s">
        <v>244</v>
      </c>
      <c r="I101" s="30"/>
    </row>
    <row r="102" spans="1:11" x14ac:dyDescent="0.25">
      <c r="A102" s="25" t="s">
        <v>61</v>
      </c>
      <c r="B102" s="26" t="s">
        <v>251</v>
      </c>
      <c r="C102" s="36" t="s">
        <v>74</v>
      </c>
      <c r="D102" s="28">
        <v>1</v>
      </c>
      <c r="E102" s="28">
        <v>79.099999999999994</v>
      </c>
      <c r="F102" s="29">
        <f t="shared" si="1"/>
        <v>79.099999999999994</v>
      </c>
      <c r="G102" s="30"/>
      <c r="H102" s="31" t="s">
        <v>245</v>
      </c>
      <c r="I102" s="30"/>
    </row>
    <row r="103" spans="1:11" x14ac:dyDescent="0.25">
      <c r="A103" s="25" t="s">
        <v>71</v>
      </c>
      <c r="B103" s="26" t="s">
        <v>246</v>
      </c>
      <c r="C103" s="27" t="s">
        <v>153</v>
      </c>
      <c r="D103" s="28">
        <v>1</v>
      </c>
      <c r="E103" s="28">
        <v>16.260000000000002</v>
      </c>
      <c r="F103" s="29">
        <f t="shared" si="1"/>
        <v>16.260000000000002</v>
      </c>
      <c r="G103" s="30"/>
      <c r="H103" s="31" t="s">
        <v>246</v>
      </c>
      <c r="I103" s="30"/>
    </row>
    <row r="104" spans="1:11" x14ac:dyDescent="0.25">
      <c r="A104" s="37" t="s">
        <v>258</v>
      </c>
      <c r="B104" s="26" t="s">
        <v>254</v>
      </c>
      <c r="C104" s="38" t="s">
        <v>253</v>
      </c>
      <c r="D104" s="39">
        <v>1</v>
      </c>
      <c r="E104" s="39">
        <v>5.35</v>
      </c>
      <c r="F104" s="29">
        <f>D104*E104</f>
        <v>5.35</v>
      </c>
      <c r="G104" s="30"/>
      <c r="H104" s="40" t="s">
        <v>252</v>
      </c>
      <c r="I104" s="30"/>
    </row>
    <row r="105" spans="1:11" x14ac:dyDescent="0.25">
      <c r="A105" s="37" t="s">
        <v>259</v>
      </c>
      <c r="B105" s="26" t="s">
        <v>256</v>
      </c>
      <c r="C105" s="38" t="s">
        <v>257</v>
      </c>
      <c r="D105" s="39">
        <v>1</v>
      </c>
      <c r="E105" s="39">
        <v>10.75</v>
      </c>
      <c r="F105" s="29">
        <f>D105*E105</f>
        <v>10.75</v>
      </c>
      <c r="G105" s="30"/>
      <c r="H105" s="40" t="s">
        <v>255</v>
      </c>
      <c r="I105" s="30"/>
    </row>
    <row r="106" spans="1:11" x14ac:dyDescent="0.25">
      <c r="A106" s="37" t="s">
        <v>260</v>
      </c>
      <c r="B106" s="26" t="s">
        <v>263</v>
      </c>
      <c r="C106" s="38" t="s">
        <v>262</v>
      </c>
      <c r="D106" s="39">
        <v>1</v>
      </c>
      <c r="E106" s="39">
        <v>6.68</v>
      </c>
      <c r="F106" s="29">
        <v>7.96</v>
      </c>
      <c r="G106" s="30"/>
      <c r="H106" s="40" t="s">
        <v>261</v>
      </c>
      <c r="I106" s="30"/>
    </row>
    <row r="107" spans="1:11" x14ac:dyDescent="0.25">
      <c r="A107" s="25" t="s">
        <v>294</v>
      </c>
      <c r="B107" s="26" t="s">
        <v>276</v>
      </c>
      <c r="C107" s="38" t="s">
        <v>277</v>
      </c>
      <c r="D107" s="28">
        <v>1</v>
      </c>
      <c r="E107" s="28">
        <v>28.78</v>
      </c>
      <c r="F107" s="29">
        <f t="shared" ref="F107:F109" si="3">D107*E107</f>
        <v>28.78</v>
      </c>
      <c r="G107" s="30"/>
      <c r="H107" s="40" t="s">
        <v>278</v>
      </c>
      <c r="I107" s="30"/>
    </row>
    <row r="108" spans="1:11" x14ac:dyDescent="0.25">
      <c r="A108" s="25" t="s">
        <v>293</v>
      </c>
      <c r="B108" s="26" t="s">
        <v>281</v>
      </c>
      <c r="C108" s="38" t="s">
        <v>280</v>
      </c>
      <c r="D108" s="28">
        <v>1</v>
      </c>
      <c r="E108" s="28">
        <v>146.18</v>
      </c>
      <c r="F108" s="29">
        <f t="shared" si="3"/>
        <v>146.18</v>
      </c>
      <c r="G108" s="30"/>
      <c r="H108" s="40" t="s">
        <v>279</v>
      </c>
      <c r="I108" s="30"/>
    </row>
    <row r="109" spans="1:11" x14ac:dyDescent="0.25">
      <c r="A109" s="25" t="s">
        <v>292</v>
      </c>
      <c r="B109" s="26" t="s">
        <v>282</v>
      </c>
      <c r="C109" s="38" t="s">
        <v>283</v>
      </c>
      <c r="D109" s="28">
        <v>1</v>
      </c>
      <c r="E109" s="28">
        <v>36.06</v>
      </c>
      <c r="F109" s="29">
        <f t="shared" si="3"/>
        <v>36.06</v>
      </c>
      <c r="G109" s="30"/>
      <c r="H109" s="41" t="s">
        <v>284</v>
      </c>
      <c r="I109" s="30"/>
    </row>
    <row r="110" spans="1:11" s="24" customFormat="1" ht="13.5" customHeight="1" x14ac:dyDescent="0.25">
      <c r="A110" s="42" t="s">
        <v>291</v>
      </c>
      <c r="B110" s="43" t="s">
        <v>285</v>
      </c>
      <c r="C110" s="44" t="s">
        <v>286</v>
      </c>
      <c r="D110" s="45">
        <v>2</v>
      </c>
      <c r="E110" s="45">
        <v>7.82</v>
      </c>
      <c r="F110" s="46">
        <f t="shared" ref="F110:F114" si="4">D110*E110</f>
        <v>15.64</v>
      </c>
      <c r="G110" s="47"/>
      <c r="H110" s="48" t="s">
        <v>287</v>
      </c>
      <c r="I110" s="47"/>
    </row>
    <row r="111" spans="1:11" ht="14.65" customHeight="1" x14ac:dyDescent="0.25">
      <c r="A111" s="49" t="s">
        <v>17</v>
      </c>
      <c r="B111" s="50" t="s">
        <v>288</v>
      </c>
      <c r="C111" s="51" t="s">
        <v>289</v>
      </c>
      <c r="D111" s="52">
        <v>2</v>
      </c>
      <c r="E111" s="52">
        <v>14.99</v>
      </c>
      <c r="F111" s="53">
        <f t="shared" si="4"/>
        <v>29.98</v>
      </c>
      <c r="G111" s="26"/>
      <c r="H111" s="54" t="s">
        <v>290</v>
      </c>
      <c r="I111" s="26"/>
      <c r="J111" s="23"/>
      <c r="K111" s="23"/>
    </row>
    <row r="112" spans="1:11" x14ac:dyDescent="0.25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25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25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</hyperlinks>
  <pageMargins left="0.7" right="0.7" top="0.75" bottom="0.75" header="0.3" footer="0.3"/>
  <pageSetup orientation="portrait" r:id="rId108"/>
  <tableParts count="1">
    <tablePart r:id="rId10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2026-07-31T21:26:32Z</dcterms:modified>
</cp:coreProperties>
</file>