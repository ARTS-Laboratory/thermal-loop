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thermal-loop/resources/v0.1.2/design_documents/"/>
    </mc:Choice>
  </mc:AlternateContent>
  <xr:revisionPtr revIDLastSave="13" documentId="13_ncr:1_{C891D376-54C6-4945-BAD1-C808920EC2F1}" xr6:coauthVersionLast="47" xr6:coauthVersionMax="47" xr10:uidLastSave="{EFE4294F-78A9-46B5-B161-08D30B50E7C9}"/>
  <bookViews>
    <workbookView xWindow="-96" yWindow="0" windowWidth="11712" windowHeight="1377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6" i="1" l="1"/>
  <c r="F115" i="1"/>
  <c r="F117" i="1"/>
  <c r="F118" i="1"/>
  <c r="F119" i="1"/>
  <c r="F120" i="1"/>
  <c r="F114" i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<sst xmlns="http://schemas.openxmlformats.org/spreadsheetml/2006/main" count="454" uniqueCount="302">
  <si>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</si>
  <si>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</si>
  <si>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</si>
  <si>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</si>
  <si>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</si>
  <si>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</si>
  <si>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</si>
  <si>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</si>
  <si>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</si>
  <si>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</si>
  <si>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</si>
  <si>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</si>
  <si>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</si>
  <si>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</si>
  <si>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</si>
  <si>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</si>
  <si>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</si>
  <si>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</si>
  <si>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</si>
  <si>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</si>
  <si>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</si>
  <si>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</si>
  <si>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</si>
  <si>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</si>
  <si>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</si>
  <si>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</si>
  <si>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</si>
  <si>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</si>
  <si>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</si>
  <si>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</si>
  <si>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</si>
  <si>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</si>
  <si>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</si>
  <si>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</si>
  <si>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</si>
  <si>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</si>
  <si>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</si>
  <si>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</si>
  <si>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</si>
  <si>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</si>
  <si>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</si>
  <si>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</si>
  <si>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</si>
  <si>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</si>
  <si>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</si>
  <si>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</si>
  <si>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</si>
  <si>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</si>
  <si>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</si>
  <si>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</si>
  <si>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</si>
  <si>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</si>
  <si>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</si>
  <si>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</si>
  <si>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</si>
  <si>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</si>
  <si>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</si>
  <si>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</si>
  <si>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</si>
  <si>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</si>
  <si>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</si>
  <si>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</si>
  <si>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</si>
  <si>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</si>
  <si>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</si>
  <si>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</si>
  <si>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</si>
  <si>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</si>
  <si>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</si>
  <si>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</si>
  <si>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</si>
  <si>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</si>
  <si>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</si>
  <si>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</si>
  <si>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</si>
  <si>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</si>
  <si>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</si>
  <si>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</si>
  <si>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</si>
  <si>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</si>
  <si>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</si>
  <si>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</si>
  <si>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</si>
  <si>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</si>
  <si>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</si>
  <si>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</si>
  <si>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</si>
  <si>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</si>
  <si>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</si>
  <si>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</si>
  <si>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</si>
  <si>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</si>
  <si>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</si>
  <si>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</si>
  <si>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</si>
  <si>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</si>
  <si>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</si>
  <si>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</si>
  <si>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</si>
  <si>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</si>
  <si>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</si>
  <si>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</si>
  <si>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</si>
  <si>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</si>
  <si>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</si>
  <si>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</si>
  <si>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</si>
  <si>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</si>
  <si>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</si>
  <si>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</si>
  <si>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</si>
  <si>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</si>
  <si>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</si>
  <si>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</si>
  <si>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</si>
  <si>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</si>
  <si>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</si>
  <si>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</si>
  <si>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</si>
  <si>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</si>
  <si>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</si>
  <si>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</si>
  <si>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</si>
  <si>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</si>
  <si>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</si>
  <si>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</si>
  <si>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</si>
  <si>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</si>
  <si>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</si>
  <si>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</si>
  <si>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</si>
  <si>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</si>
  <si>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</si>
  <si>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</si>
  <si>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</si>
  <si>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</si>
  <si>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</si>
  <si>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</si>
  <si>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</si>
  <si>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</si>
  <si>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</si>
  <si>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</si>
  <si>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</si>
  <si>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</si>
  <si>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</si>
  <si>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</si>
  <si>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</si>
  <si>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</si>
  <si>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</si>
  <si>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</si>
  <si>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</si>
  <si>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</si>
  <si>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</si>
  <si>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</si>
  <si>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</si>
  <si>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</si>
  <si>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</si>
  <si>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</si>
  <si>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</si>
  <si>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</si>
  <si>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</si>
  <si>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</si>
  <si>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</si>
  <si>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</si>
  <si>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</si>
  <si>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</si>
  <si>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</si>
  <si>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</si>
  <si>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</si>
  <si>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</si>
  <si>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</si>
  <si>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</si>
  <si>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</si>
  <si>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</si>
  <si>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</si>
  <si>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</si>
  <si>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</si>
  <si>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</si>
  <si>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</si>
  <si>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</si>
  <si>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</si>
  <si>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</si>
  <si>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</si>
  <si>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</si>
  <si>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</si>
  <si>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</si>
  <si>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</si>
  <si>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</si>
  <si>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</si>
  <si>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</si>
  <si>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</si>
  <si>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</si>
  <si>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</si>
  <si>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</si>
  <si>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</si>
  <si>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</si>
  <si>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</si>
  <si>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</si>
  <si>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</si>
  <si>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</si>
  <si>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</si>
  <si>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</si>
  <si>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</si>
  <si>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</si>
  <si>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</si>
  <si>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</si>
  <si>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</si>
  <si>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</si>
  <si>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</si>
  <si>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</si>
  <si>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</si>
  <si>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</si>
  <si>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</si>
  <si>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</si>
  <si>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</si>
  <si>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</si>
  <si>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</si>
  <si>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</si>
  <si>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</si>
  <si>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</si>
  <si>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</si>
  <si>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</si>
  <si>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</si>
  <si>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</si>
  <si>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</si>
  <si>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</si>
  <si>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</si>
  <si>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</si>
  <si>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</si>
  <si>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</si>
  <si>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</si>
  <si>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</si>
  <si>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</si>
  <si>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</si>
  <si>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</si>
  <si>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</si>
  <si>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</si>
  <si>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</si>
  <si>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</si>
  <si>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</si>
  <si>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</si>
  <si>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</si>
  <si>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</si>
  <si>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</si>
  <si>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</si>
  <si>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</si>
  <si>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</si>
  <si>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</si>
  <si>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</si>
  <si>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</si>
  <si>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</si>
  <si>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</si>
  <si>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</si>
  <si>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</si>
  <si>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</si>
  <si>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</si>
  <si>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</si>
  <si>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</si>
  <si>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</si>
  <si>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</si>
  <si>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</si>
  <si>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</si>
  <si>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</si>
  <si>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</si>
  <si>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</si>
  <si>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</si>
  <si>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</si>
  <si>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</si>
  <si>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</si>
  <si>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</si>
  <si>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</si>
  <si>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</si>
  <si>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</si>
  <si>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</si>
  <si>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</si>
  <si>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</si>
  <si>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</si>
  <si>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</si>
  <si>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</si>
  <si>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</si>
  <si>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</si>
  <si>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</si>
  <si>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</si>
  <si>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</si>
  <si>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</si>
  <si>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</si>
  <si>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</si>
  <si>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</si>
  <si>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</si>
  <si>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</si>
  <si>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</si>
  <si>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</si>
  <si>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</si>
  <si>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</si>
  <si>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</si>
  <si>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</si>
  <si>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</si>
  <si>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</si>
  <si>
    <t>Lug Terminal</t>
  </si>
  <si>
    <t>Compression Lug: 3/8 in Stud Size, 4/0 AWG – 4/0 AWG For Wire Sizes, Stranded Wire Type, Std, Copper</t>
  </si>
  <si>
    <t>24C366</t>
  </si>
  <si>
    <t>3/8 in Stud Size, 4/0 AWG – 4/0 AWG For Wire Sizes, Compression Lug - 24C366|24C366 - Grainger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</si>
</sst>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1" fillId="0" borderId="2" xfId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Border="1" applyAlignment="1">
      <alignment horizontal="left"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Fill="1" applyAlignment="1">
      <alignment vertical="top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0" totalsRowShown="0" tableBorderDxfId="7">
  <autoFilter ref="A1:K120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hyperlink" Target="https://www.grainger.com/product/Compression-Lug-3-8-in-Stud-24C366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110" Type="http://schemas.openxmlformats.org/officeDocument/2006/relationships/printerSettings" Target="../printerSettings/printerSettings1.bin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11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0"/>
  <sheetViews>
    <sheetView tabSelected="1" topLeftCell="F87" zoomScale="85" zoomScaleNormal="85" workbookViewId="0">
      <selection activeCell="H119" sqref="H119"/>
    </sheetView>
  </sheetViews>
  <sheetFormatPr defaultColWidth="8.6640625" defaultRowHeight="14.4" x14ac:dyDescent="0.3"/>
  <cols>
    <col min="1" max="1" width="39" customWidth="1"/>
    <col min="2" max="2" width="33.109375" customWidth="1"/>
    <col min="3" max="3" width="16.44140625" bestFit="1" customWidth="1"/>
    <col min="4" max="4" width="15.664062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6640625" customWidth="1"/>
    <col min="13" max="13" width="51" customWidth="1"/>
  </cols>
  <sheetData>
    <row r="1" spans="1:13" ht="15" customHeight="1" x14ac:dyDescent="0.3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3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3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3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3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3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3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3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3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3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3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3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3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3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3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3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3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3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3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3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3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3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3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3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3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3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3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3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3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3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3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3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3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3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3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3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3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3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3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3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3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3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3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3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3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3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3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3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3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3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3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3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3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3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3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3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3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3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3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3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3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3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3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3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3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3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3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3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3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3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3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3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3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3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3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3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3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3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3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3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8" x14ac:dyDescent="0.3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8" x14ac:dyDescent="0.3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8" x14ac:dyDescent="0.3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8" x14ac:dyDescent="0.3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8" x14ac:dyDescent="0.3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8" x14ac:dyDescent="0.3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8" x14ac:dyDescent="0.3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8" x14ac:dyDescent="0.3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8" x14ac:dyDescent="0.3">
      <c r="A89" s="13" t="s">
        <v>66</v>
      </c>
      <c r="B89" s="23" t="s">
        <v>239</v>
      </c>
      <c r="C89" s="17" t="s">
        <v>146</v>
      </c>
      <c r="D89" s="8">
        <v>2</v>
      </c>
      <c r="E89" s="8">
        <v>14.63</v>
      </c>
      <c r="F89" s="6">
        <f t="shared" si="1"/>
        <v>29.26</v>
      </c>
      <c r="H89" s="25" t="s">
        <v>239</v>
      </c>
    </row>
    <row r="90" spans="1:8" x14ac:dyDescent="0.3">
      <c r="A90" s="13" t="s">
        <v>67</v>
      </c>
      <c r="B90" s="23" t="s">
        <v>240</v>
      </c>
      <c r="C90" s="26" t="s">
        <v>147</v>
      </c>
      <c r="D90" s="8">
        <v>4</v>
      </c>
      <c r="E90" s="8">
        <v>167.42</v>
      </c>
      <c r="F90" s="6">
        <f t="shared" si="1"/>
        <v>669.68</v>
      </c>
      <c r="H90" s="25" t="s">
        <v>240</v>
      </c>
    </row>
    <row r="91" spans="1:8" x14ac:dyDescent="0.3">
      <c r="A91" s="13" t="s">
        <v>46</v>
      </c>
      <c r="B91" s="23" t="s">
        <v>241</v>
      </c>
      <c r="C91" s="17" t="s">
        <v>148</v>
      </c>
      <c r="D91" s="8">
        <v>1</v>
      </c>
      <c r="E91" s="8">
        <v>12.61</v>
      </c>
      <c r="F91" s="6">
        <f t="shared" si="1"/>
        <v>12.61</v>
      </c>
      <c r="H91" s="25" t="s">
        <v>241</v>
      </c>
    </row>
    <row r="92" spans="1:8" x14ac:dyDescent="0.3">
      <c r="A92" s="13" t="s">
        <v>68</v>
      </c>
      <c r="B92" s="23"/>
      <c r="C92" s="13" t="s">
        <v>149</v>
      </c>
      <c r="D92" s="8">
        <v>2</v>
      </c>
      <c r="E92" s="8">
        <v>10.45</v>
      </c>
      <c r="F92" s="6">
        <f t="shared" si="1"/>
        <v>20.9</v>
      </c>
      <c r="H92" s="27" t="s">
        <v>78</v>
      </c>
    </row>
    <row r="93" spans="1:8" x14ac:dyDescent="0.3">
      <c r="A93" s="2" t="s">
        <v>264</v>
      </c>
      <c r="B93" s="2" t="s">
        <v>265</v>
      </c>
      <c r="C93" s="28" t="s">
        <v>266</v>
      </c>
      <c r="D93" s="2">
        <v>1</v>
      </c>
      <c r="E93" s="6">
        <v>110</v>
      </c>
      <c r="F93" s="6">
        <f t="shared" ref="F93:F95" si="2">D93*E93</f>
        <v>110</v>
      </c>
      <c r="H93" s="27" t="s">
        <v>267</v>
      </c>
    </row>
    <row r="94" spans="1:8" x14ac:dyDescent="0.3">
      <c r="A94" s="13" t="s">
        <v>268</v>
      </c>
      <c r="B94" s="23" t="s">
        <v>273</v>
      </c>
      <c r="C94" s="13" t="s">
        <v>274</v>
      </c>
      <c r="D94" s="8">
        <v>1</v>
      </c>
      <c r="E94" s="8">
        <v>13.55</v>
      </c>
      <c r="F94" s="6">
        <f t="shared" si="2"/>
        <v>13.55</v>
      </c>
      <c r="H94" s="25" t="s">
        <v>271</v>
      </c>
    </row>
    <row r="95" spans="1:8" x14ac:dyDescent="0.3">
      <c r="A95" s="13" t="s">
        <v>269</v>
      </c>
      <c r="B95" s="23" t="s">
        <v>272</v>
      </c>
      <c r="C95" s="13" t="s">
        <v>275</v>
      </c>
      <c r="D95" s="8">
        <v>1</v>
      </c>
      <c r="E95" s="8">
        <v>8.4700000000000006</v>
      </c>
      <c r="F95" s="6">
        <f t="shared" si="2"/>
        <v>8.4700000000000006</v>
      </c>
      <c r="H95" s="25" t="s">
        <v>270</v>
      </c>
    </row>
    <row r="96" spans="1:8" x14ac:dyDescent="0.3">
      <c r="A96" s="13" t="s">
        <v>68</v>
      </c>
      <c r="B96" s="23"/>
      <c r="C96" s="13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7" t="s">
        <v>78</v>
      </c>
    </row>
    <row r="97" spans="1:11" x14ac:dyDescent="0.3">
      <c r="A97" s="13" t="s">
        <v>69</v>
      </c>
      <c r="B97" s="23"/>
      <c r="C97" s="13">
        <v>156665159304</v>
      </c>
      <c r="D97" s="8">
        <v>3</v>
      </c>
      <c r="E97" s="8">
        <v>35.97</v>
      </c>
      <c r="F97" s="6">
        <f t="shared" si="1"/>
        <v>107.91</v>
      </c>
      <c r="H97" s="27" t="s">
        <v>78</v>
      </c>
    </row>
    <row r="98" spans="1:11" x14ac:dyDescent="0.3">
      <c r="A98" s="13" t="s">
        <v>67</v>
      </c>
      <c r="B98" s="23" t="s">
        <v>240</v>
      </c>
      <c r="C98" s="13" t="s">
        <v>147</v>
      </c>
      <c r="D98" s="8">
        <v>3</v>
      </c>
      <c r="E98" s="8">
        <v>167.42</v>
      </c>
      <c r="F98" s="6">
        <f t="shared" si="1"/>
        <v>502.26</v>
      </c>
      <c r="H98" s="25" t="s">
        <v>240</v>
      </c>
    </row>
    <row r="99" spans="1:11" x14ac:dyDescent="0.3">
      <c r="A99" s="13" t="s">
        <v>70</v>
      </c>
      <c r="B99" s="23" t="s">
        <v>249</v>
      </c>
      <c r="C99" s="13">
        <v>316529</v>
      </c>
      <c r="D99" s="8">
        <v>1</v>
      </c>
      <c r="E99" s="8">
        <v>405</v>
      </c>
      <c r="F99" s="6">
        <f t="shared" si="1"/>
        <v>405</v>
      </c>
      <c r="H99" s="25" t="s">
        <v>242</v>
      </c>
    </row>
    <row r="100" spans="1:11" x14ac:dyDescent="0.3">
      <c r="A100" s="13" t="s">
        <v>66</v>
      </c>
      <c r="B100" s="23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5" t="s">
        <v>243</v>
      </c>
    </row>
    <row r="101" spans="1:11" x14ac:dyDescent="0.3">
      <c r="A101" s="13" t="s">
        <v>17</v>
      </c>
      <c r="B101" s="23" t="s">
        <v>244</v>
      </c>
      <c r="C101" s="11" t="s">
        <v>152</v>
      </c>
      <c r="D101" s="8">
        <v>1</v>
      </c>
      <c r="E101" s="8">
        <v>20.91</v>
      </c>
      <c r="F101" s="6">
        <f t="shared" si="1"/>
        <v>20.91</v>
      </c>
      <c r="H101" s="25" t="s">
        <v>244</v>
      </c>
    </row>
    <row r="102" spans="1:11" x14ac:dyDescent="0.3">
      <c r="A102" s="13" t="s">
        <v>61</v>
      </c>
      <c r="B102" s="23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5" t="s">
        <v>245</v>
      </c>
    </row>
    <row r="103" spans="1:11" x14ac:dyDescent="0.3">
      <c r="A103" s="13" t="s">
        <v>71</v>
      </c>
      <c r="B103" s="23" t="s">
        <v>246</v>
      </c>
      <c r="C103" s="17" t="s">
        <v>153</v>
      </c>
      <c r="D103" s="8">
        <v>1</v>
      </c>
      <c r="E103" s="8">
        <v>16.260000000000002</v>
      </c>
      <c r="F103" s="6">
        <f t="shared" si="1"/>
        <v>16.260000000000002</v>
      </c>
      <c r="H103" s="25" t="s">
        <v>246</v>
      </c>
    </row>
    <row r="104" spans="1:11" x14ac:dyDescent="0.3">
      <c r="A104" s="29" t="s">
        <v>258</v>
      </c>
      <c r="B104" s="23" t="s">
        <v>254</v>
      </c>
      <c r="C104" s="10" t="s">
        <v>253</v>
      </c>
      <c r="D104" s="30">
        <v>1</v>
      </c>
      <c r="E104" s="30">
        <v>5.35</v>
      </c>
      <c r="F104" s="6">
        <f>D104*E104</f>
        <v>5.35</v>
      </c>
      <c r="H104" s="31" t="s">
        <v>252</v>
      </c>
    </row>
    <row r="105" spans="1:11" x14ac:dyDescent="0.3">
      <c r="A105" s="29" t="s">
        <v>259</v>
      </c>
      <c r="B105" s="23" t="s">
        <v>256</v>
      </c>
      <c r="C105" s="10" t="s">
        <v>257</v>
      </c>
      <c r="D105" s="30">
        <v>1</v>
      </c>
      <c r="E105" s="30">
        <v>10.75</v>
      </c>
      <c r="F105" s="6">
        <f>D105*E105</f>
        <v>10.75</v>
      </c>
      <c r="H105" s="31" t="s">
        <v>255</v>
      </c>
    </row>
    <row r="106" spans="1:11" x14ac:dyDescent="0.3">
      <c r="A106" s="29" t="s">
        <v>260</v>
      </c>
      <c r="B106" s="23" t="s">
        <v>263</v>
      </c>
      <c r="C106" s="10" t="s">
        <v>262</v>
      </c>
      <c r="D106" s="30">
        <v>1</v>
      </c>
      <c r="E106" s="30">
        <v>6.68</v>
      </c>
      <c r="F106" s="6">
        <v>7.96</v>
      </c>
      <c r="H106" s="31" t="s">
        <v>261</v>
      </c>
    </row>
    <row r="107" spans="1:11" x14ac:dyDescent="0.3">
      <c r="A107" s="13" t="s">
        <v>294</v>
      </c>
      <c r="B107" s="23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31" t="s">
        <v>278</v>
      </c>
    </row>
    <row r="108" spans="1:11" x14ac:dyDescent="0.3">
      <c r="A108" s="13" t="s">
        <v>293</v>
      </c>
      <c r="B108" s="23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31" t="s">
        <v>279</v>
      </c>
    </row>
    <row r="109" spans="1:11" x14ac:dyDescent="0.3">
      <c r="A109" s="13" t="s">
        <v>292</v>
      </c>
      <c r="B109" s="23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2" t="s">
        <v>284</v>
      </c>
    </row>
    <row r="110" spans="1:11" s="24" customFormat="1" ht="13.5" customHeight="1" x14ac:dyDescent="0.3">
      <c r="A110" s="33" t="s">
        <v>291</v>
      </c>
      <c r="B110" s="34" t="s">
        <v>285</v>
      </c>
      <c r="C110" s="35" t="s">
        <v>286</v>
      </c>
      <c r="D110" s="36">
        <v>2</v>
      </c>
      <c r="E110" s="36">
        <v>7.82</v>
      </c>
      <c r="F110" s="37">
        <f t="shared" ref="F110:F114" si="4">D110*E110</f>
        <v>15.64</v>
      </c>
      <c r="H110" s="38" t="s">
        <v>287</v>
      </c>
    </row>
    <row r="111" spans="1:11" ht="14.7" customHeight="1" x14ac:dyDescent="0.3">
      <c r="A111" s="39" t="s">
        <v>17</v>
      </c>
      <c r="B111" s="40" t="s">
        <v>288</v>
      </c>
      <c r="C111" s="41" t="s">
        <v>289</v>
      </c>
      <c r="D111" s="42">
        <v>2</v>
      </c>
      <c r="E111" s="42">
        <v>14.99</v>
      </c>
      <c r="F111" s="43">
        <f t="shared" si="4"/>
        <v>29.98</v>
      </c>
      <c r="G111" s="23"/>
      <c r="H111" s="44" t="s">
        <v>290</v>
      </c>
      <c r="I111" s="23"/>
      <c r="J111" s="23"/>
      <c r="K111" s="23"/>
    </row>
    <row r="112" spans="1:11" x14ac:dyDescent="0.3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8" x14ac:dyDescent="0.3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8" x14ac:dyDescent="0.3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  <row r="115" spans="1:8" x14ac:dyDescent="0.3">
      <c r="A115" s="13"/>
      <c r="B115" s="23"/>
      <c r="C115" s="10"/>
      <c r="D115" s="8"/>
      <c r="E115" s="8"/>
      <c r="F115" s="6">
        <f t="shared" ref="F115:F120" si="5">D115*E115</f>
        <v>0</v>
      </c>
      <c r="H115" s="10"/>
    </row>
    <row r="116" spans="1:8" ht="15.6" customHeight="1" x14ac:dyDescent="0.3">
      <c r="A116" s="39" t="s">
        <v>17</v>
      </c>
      <c r="B116" s="40" t="s">
        <v>288</v>
      </c>
      <c r="C116" s="41" t="s">
        <v>289</v>
      </c>
      <c r="D116" s="42">
        <v>1</v>
      </c>
      <c r="E116" s="42">
        <v>14.99</v>
      </c>
      <c r="F116" s="43">
        <f t="shared" si="5"/>
        <v>14.99</v>
      </c>
      <c r="G116" s="23"/>
      <c r="H116" s="44" t="s">
        <v>290</v>
      </c>
    </row>
    <row r="117" spans="1:8" x14ac:dyDescent="0.3">
      <c r="A117" s="13" t="s">
        <v>298</v>
      </c>
      <c r="B117" s="23" t="s">
        <v>299</v>
      </c>
      <c r="C117" s="10" t="s">
        <v>300</v>
      </c>
      <c r="D117" s="8">
        <v>3</v>
      </c>
      <c r="E117" s="8">
        <v>6.37</v>
      </c>
      <c r="F117" s="6">
        <f t="shared" si="5"/>
        <v>19.11</v>
      </c>
      <c r="H117" s="1" t="s">
        <v>301</v>
      </c>
    </row>
    <row r="118" spans="1:8" x14ac:dyDescent="0.3">
      <c r="A118" s="13"/>
      <c r="B118" s="23"/>
      <c r="C118" s="10"/>
      <c r="D118" s="8"/>
      <c r="E118" s="8"/>
      <c r="F118" s="6">
        <f t="shared" si="5"/>
        <v>0</v>
      </c>
      <c r="H118" s="10"/>
    </row>
    <row r="119" spans="1:8" x14ac:dyDescent="0.3">
      <c r="A119" s="13"/>
      <c r="B119" s="23"/>
      <c r="C119" s="10"/>
      <c r="D119" s="8"/>
      <c r="E119" s="8"/>
      <c r="F119" s="6">
        <f t="shared" si="5"/>
        <v>0</v>
      </c>
      <c r="H119" s="10"/>
    </row>
    <row r="120" spans="1:8" x14ac:dyDescent="0.3">
      <c r="A120" s="29"/>
      <c r="B120" s="23"/>
      <c r="C120" s="10"/>
      <c r="D120" s="30"/>
      <c r="E120" s="30"/>
      <c r="F120" s="6">
        <f t="shared" si="5"/>
        <v>0</v>
      </c>
      <c r="H120" s="10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  <hyperlink ref="H116" r:id="rId108" display="https://www.grainger.com/product/20KF99?RIID=51819294775&amp;GID=729415832&amp;mid=OrderConfirmation_REST&amp;rfe=a98025ace82cfe3e9959eb0e2dd5f9501b4a446af591eb4540e15aea507809d7&amp;gucid=EMT:11126144:Item:CSM-323&amp;emcid=NA:Item" xr:uid="{2C0D4D21-381D-4DE0-8627-C5CDD08AC966}"/>
    <hyperlink ref="H117" r:id="rId109" display="https://www.grainger.com/product/Compression-Lug-3-8-in-Stud-24C366" xr:uid="{969E4A0C-E52F-4A17-A6F5-A3D01F24676B}"/>
  </hyperlinks>
  <pageMargins left="0.7" right="0.7" top="0.75" bottom="0.75" header="0.3" footer="0.3"/>
  <pageSetup orientation="portrait" r:id="rId110"/>
  <tableParts count="1">
    <tablePart r:id="rId1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2026-08-19T20:37:26Z</dcterms:modified>
</cp:coreProperties>
</file>