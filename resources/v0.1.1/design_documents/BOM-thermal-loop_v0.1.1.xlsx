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owney2\Documents\GitHub\thermal-loop\resources\v0.1.1\design_documents\"/>
    </mc:Choice>
  </mc:AlternateContent>
  <xr:revisionPtr revIDLastSave="0" documentId="13_ncr:1_{F5474E0B-F384-4BB0-87B0-7E15B0F05A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ll_of_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4" i="1" l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95" i="1" s="1"/>
  <c r="F6" i="1"/>
  <c r="F5" i="1"/>
  <c r="F4" i="1"/>
  <c r="F3" i="1"/>
  <c r="F2" i="1"/>
</calcChain>
</file>

<file path=xl/sharedStrings.xml><?xml version="1.0" encoding="utf-8"?>
<sst xmlns="http://schemas.openxmlformats.org/spreadsheetml/2006/main" count="385" uniqueCount="331">
  <si>
    <t>Internal Part Name</t>
  </si>
  <si>
    <t>MFR / Vendor Description</t>
  </si>
  <si>
    <t>MFR Part Number</t>
  </si>
  <si>
    <t>Amount Per Cover</t>
  </si>
  <si>
    <t>Individual Cost</t>
  </si>
  <si>
    <t>Total Cost</t>
  </si>
  <si>
    <t>Notes</t>
  </si>
  <si>
    <t>Vendor 1</t>
  </si>
  <si>
    <t>Vendor 2</t>
  </si>
  <si>
    <t>Vendor 3</t>
  </si>
  <si>
    <t>Vendor 4</t>
  </si>
  <si>
    <t>Vendor 5</t>
  </si>
  <si>
    <t>Vendor 6</t>
  </si>
  <si>
    <t>Wire Duct</t>
  </si>
  <si>
    <t>Thomas &amp; Betts - 2 X 2 X 72 IN GRAY WIDE SLOT WIRING DUCT</t>
  </si>
  <si>
    <t>TYD2X2WPG6</t>
  </si>
  <si>
    <t>https://www.mscdirect.com/product/details/92012988</t>
  </si>
  <si>
    <t>Hex Screw</t>
  </si>
  <si>
    <t>Value Collection - Hex Head Cap Screw: 5/8-11, 3" Length Under Head, Grade 2 Steel, Zinc Finish</t>
  </si>
  <si>
    <t>67436964</t>
  </si>
  <si>
    <t>https://www.mscdirect.com/product/details/67436964</t>
  </si>
  <si>
    <t>Hex Nut</t>
  </si>
  <si>
    <t>Value Collection - Hex Nut: 5/8-11, Grade 2 Steel, Bright/Uncoated Finish</t>
  </si>
  <si>
    <t>67473967</t>
  </si>
  <si>
    <t>https://www.mscdirect.com/product/details/67473967</t>
  </si>
  <si>
    <t>1.50" x 0.75" x 6' White Lead-Free PVC Panduct® Narrow Slot Wiring Duct</t>
  </si>
  <si>
    <t>99176795</t>
  </si>
  <si>
    <t>https://www.fastenal.com/product/details/99176795</t>
  </si>
  <si>
    <t>1 1/2 in Nom Wd, 1.3 in Slot Ht, Wiring Duct</t>
  </si>
  <si>
    <t>TYD15X2NPG6</t>
  </si>
  <si>
    <t>https://www.grainger.com/product/53UJ14</t>
  </si>
  <si>
    <t>Duct Cover</t>
  </si>
  <si>
    <t>PVC, 72 in Lg, Wiring Duct Cover</t>
  </si>
  <si>
    <t>TYD15CPG6</t>
  </si>
  <si>
    <t>https://www.grainger.com/product/53UH83</t>
  </si>
  <si>
    <t>Threaded Flange</t>
  </si>
  <si>
    <t>Flange, 304 Stainless Steel, Metal Pipe Flange</t>
  </si>
  <si>
    <t>4381001040</t>
  </si>
  <si>
    <t>https://www.grainger.com/product/Metal-Pipe-Flange-Flange-4WPV1</t>
  </si>
  <si>
    <t>Plastic Bushing</t>
  </si>
  <si>
    <t>Bushing, 1 1/2 in x 3/4 in Fitting Pipe Size, Pipe Straight</t>
  </si>
  <si>
    <t>RB150-075</t>
  </si>
  <si>
    <t>https://www.grainger.com/product/1MKC2</t>
  </si>
  <si>
    <t>Brass Tee</t>
  </si>
  <si>
    <t>PARKER, Tee, 3/4 in x 3/4 in x 3/4 in, Metal Pipe Tee</t>
  </si>
  <si>
    <t>VS2225P-12</t>
  </si>
  <si>
    <t>https://www.grainger.com/product/PARKER-Metal-Pipe-Tee-Tee-13Y864</t>
  </si>
  <si>
    <t>Compression Fitting</t>
  </si>
  <si>
    <t>PARKER, 1/2 in OD x 3/4 in pipe Size, Compression x MNPT, Compression Fitting Adapter</t>
  </si>
  <si>
    <t>8MSC12N-B</t>
  </si>
  <si>
    <t>https://www.grainger.com/product/PARKER-Compression-Fitting-Adapter-20YY84</t>
  </si>
  <si>
    <t>DIN Terminals</t>
  </si>
  <si>
    <t>No vendor link provided in source BOM.</t>
  </si>
  <si>
    <t>Control for P-Valve</t>
  </si>
  <si>
    <t>Dig. control electroncis for prop.valves</t>
  </si>
  <si>
    <t>316533</t>
  </si>
  <si>
    <t>https://www.burkert-usa.com/en/products/proportional-valves/controllers/316533</t>
  </si>
  <si>
    <t>PWM Control for P-Valve</t>
  </si>
  <si>
    <t>Type 8605 - PWM control electronics for electromagnetic proportional valves</t>
  </si>
  <si>
    <t>316530</t>
  </si>
  <si>
    <t>https://www.burkert-usa.com/en/type/8605</t>
  </si>
  <si>
    <t>Controller Plug Connect.</t>
  </si>
  <si>
    <t>Plug connection form A</t>
  </si>
  <si>
    <t>314802</t>
  </si>
  <si>
    <t>https://www.burkert-usa.com/en/products/solenoid-valves/accessories/cable-plugs/314802</t>
  </si>
  <si>
    <t>Proportional Valve</t>
  </si>
  <si>
    <t>2/2-way-proportional valve</t>
  </si>
  <si>
    <t>164598</t>
  </si>
  <si>
    <t>https://www.burkert-usa.com/en/products/proportional-valves/general-purpose-proportional-valves/164598</t>
  </si>
  <si>
    <t>Cable</t>
  </si>
  <si>
    <t>76402TS 0081000 Belden Inc. | Multiple Conductor Cables</t>
  </si>
  <si>
    <t>76402TS-0081000</t>
  </si>
  <si>
    <t>https://www.digikey.com/en/products/detail/belden-inc/76402TS-0081000/8121749</t>
  </si>
  <si>
    <t>cDAQ</t>
  </si>
  <si>
    <t>Wire Stripper</t>
  </si>
  <si>
    <t>JIC-2030 Jonard Tools | Wire Strippers and Accessories</t>
  </si>
  <si>
    <t>JIC-2030</t>
  </si>
  <si>
    <t>https://www.digikey.com/en/products/detail/jonard-tools/JIC-2030/2308356</t>
  </si>
  <si>
    <t>Wire Crimper</t>
  </si>
  <si>
    <t>34055 Klein Tools, Inc. | Crimpers, Applicators, Presses</t>
  </si>
  <si>
    <t>34055</t>
  </si>
  <si>
    <t>https://www.digikey.com/en/products/detail/klein-tools-inc/34055/24627409</t>
  </si>
  <si>
    <t>Ferrule</t>
  </si>
  <si>
    <t>1161014 American Electrical Inc. | Terminal Block Wire Ferrules</t>
  </si>
  <si>
    <t>1161014</t>
  </si>
  <si>
    <t>https://www.digikey.com/en/products/detail/american-electrical-inc/1161014/266366</t>
  </si>
  <si>
    <t>Monitor Mount</t>
  </si>
  <si>
    <t>Bosch UMM-LW-20B Monitor Wall Mount (Fixed) UMM-LW-20B</t>
  </si>
  <si>
    <t>UMM-LW-20B</t>
  </si>
  <si>
    <t>https://www.bhphotovideo.com/c/product/744102-REG/Bosch_UMM_LW_20B_UMM_LW_20B_Monitor_Wall_Mount.html</t>
  </si>
  <si>
    <t>Touch Screen Monitor</t>
  </si>
  <si>
    <t>Dell P2424HT - LED monitor - 24" (23.8" viewable) - touchscreen - 1920 x 1080 Full HD (1080p) @ 60 Hz - IPS - 300 cd/m² - DELL-P2424HT - Computer Monitors</t>
  </si>
  <si>
    <t>DELL-P2424HT</t>
  </si>
  <si>
    <t>https://www.cdwg.com/product/dell-p2424ht-led-monitor-full-hd-1080p-24/7568365</t>
  </si>
  <si>
    <t>Monitor</t>
  </si>
  <si>
    <t>Dell Pro E2425HM - LED monitor - Full HD (1080p) - 24" - DELL-E2425HM - Computer Monitors</t>
  </si>
  <si>
    <t>DELL-E2425HM</t>
  </si>
  <si>
    <t>https://www.cdwg.com/product/dell-pro-e2425hm-led-monitor-full-hd-1080p-24/8323512</t>
  </si>
  <si>
    <t>Thermocouple</t>
  </si>
  <si>
    <t>TEMPCO, 32°F to 2,300°F /0°C to 1,260°C, Type K, Thermocouple Probe</t>
  </si>
  <si>
    <t>TTW00180</t>
  </si>
  <si>
    <t>https://www.grainger.com/product/3AAA2</t>
  </si>
  <si>
    <t>TEMPCO, Compression Fitting, Compression Fitting</t>
  </si>
  <si>
    <t>FTGR-1019</t>
  </si>
  <si>
    <t>https://www.grainger.com/product/5ZY28</t>
  </si>
  <si>
    <t>NPT x MNPT</t>
  </si>
  <si>
    <t>PARKER, Straight, 1/2 in x 1 in, Metal Pipe Straight</t>
  </si>
  <si>
    <t>VS209P-16-8</t>
  </si>
  <si>
    <t>https://www.grainger.com/product/13Y764</t>
  </si>
  <si>
    <t>MNPT x NPT</t>
  </si>
  <si>
    <t>PARKER, Straight, 1 in x 3/4 in, Metal Pipe Straight</t>
  </si>
  <si>
    <t>VS209P-16-12</t>
  </si>
  <si>
    <t>https://www.grainger.com/product/13Y763</t>
  </si>
  <si>
    <t>NPT x NPT</t>
  </si>
  <si>
    <t>Brass, 3/4 in Nominal Pipe Size, Pipe Nipple</t>
  </si>
  <si>
    <t>464-001X</t>
  </si>
  <si>
    <t>https://www.grainger.com/product/4DRC4</t>
  </si>
  <si>
    <t>Nipple</t>
  </si>
  <si>
    <t>464-040</t>
  </si>
  <si>
    <t>https://www.grainger.com/product/1VGU6</t>
  </si>
  <si>
    <t>464-030</t>
  </si>
  <si>
    <t>https://www.grainger.com/product/1VGU2</t>
  </si>
  <si>
    <t>90 Elbow</t>
  </si>
  <si>
    <t>90° Elbow, 3/4 in x 3/4 in, Metal Pipe Elbow</t>
  </si>
  <si>
    <t>1VER9</t>
  </si>
  <si>
    <t>Total recalculated from quantity x individual cost.</t>
  </si>
  <si>
    <t>https://www.grainger.com/product/1VER9</t>
  </si>
  <si>
    <t>90° Elbow, 3/4 in x 1/2 in, Metal Pipe Elbow</t>
  </si>
  <si>
    <t>2CFF9</t>
  </si>
  <si>
    <t>https://www.grainger.com/product/2CFF9</t>
  </si>
  <si>
    <t>Tee</t>
  </si>
  <si>
    <t>Tee, 3/4 in x 3/4 in x 3/4 in, Metal Pipe Tee</t>
  </si>
  <si>
    <t>1VEZ5</t>
  </si>
  <si>
    <t>https://www.grainger.com/product/1VEZ5</t>
  </si>
  <si>
    <t>Tee, 1/2 in x 1/2 in x 1/2 in, Metal Pipe Tee</t>
  </si>
  <si>
    <t>6RCZ8</t>
  </si>
  <si>
    <t>https://www.grainger.com/product/6RCZ8</t>
  </si>
  <si>
    <t>Brass, 1/2 in Nominal Pipe Size, Pipe Nipple</t>
  </si>
  <si>
    <t>463-040</t>
  </si>
  <si>
    <t>https://www.grainger.com/product/1VGR6</t>
  </si>
  <si>
    <t>Copper Hanger</t>
  </si>
  <si>
    <t>Swivel Loop, Copper-Plated Iron, Split-Ring Hanger</t>
  </si>
  <si>
    <t>22FP62</t>
  </si>
  <si>
    <t>https://www.grainger.com/product/22FP62</t>
  </si>
  <si>
    <t>22FP63</t>
  </si>
  <si>
    <t>https://www.grainger.com/product/22FP63</t>
  </si>
  <si>
    <t>Std Hex, 3/8"-16 Thread, Hex Nut</t>
  </si>
  <si>
    <t>U51080.037.0001</t>
  </si>
  <si>
    <t>https://www.grainger.com/product/1WB27</t>
  </si>
  <si>
    <t>Threaded Rod</t>
  </si>
  <si>
    <t>3/8"-16 Thread Size, 3 ft Lg, Fully Threaded Rod</t>
  </si>
  <si>
    <t>U51070.037.3600</t>
  </si>
  <si>
    <t>https://www.grainger.com/product/4RDG3</t>
  </si>
  <si>
    <t>Copper Hanger Plate</t>
  </si>
  <si>
    <t>Copper-Plated Iron, For 3/8 in Threaded Rod, Rod Hanger Plate</t>
  </si>
  <si>
    <t>22FP85</t>
  </si>
  <si>
    <t>https://www.grainger.com/product/22FP85</t>
  </si>
  <si>
    <t>Brass Union</t>
  </si>
  <si>
    <t>Union, 1/2 in x 1/2 in, Metal Pipe Straight</t>
  </si>
  <si>
    <t>6RDA5</t>
  </si>
  <si>
    <t>https://www.grainger.com/product/6RDA5</t>
  </si>
  <si>
    <t>Straight Coupling</t>
  </si>
  <si>
    <t>Straight, 3/4 in x 1/2 in, Metal Pipe Straight</t>
  </si>
  <si>
    <t>6RCY9</t>
  </si>
  <si>
    <t>https://www.grainger.com/product/6RCY9</t>
  </si>
  <si>
    <t>Clear Tubing (10ft)</t>
  </si>
  <si>
    <t>Clearbraid, PVC, Tubing</t>
  </si>
  <si>
    <t>K3150-12X10</t>
  </si>
  <si>
    <t>https://www.grainger.com/product/796K77</t>
  </si>
  <si>
    <t>Hose Clamp</t>
  </si>
  <si>
    <t>201 Stainless Steel, Lined Band, Worm Gear Hose Clamp</t>
  </si>
  <si>
    <t>5316</t>
  </si>
  <si>
    <t>https://www.grainger.com/product/1XGY9</t>
  </si>
  <si>
    <t>Barbed Hose Fitting</t>
  </si>
  <si>
    <t>DIXON VALVE &amp; COUPLING, For 3/4 in Hose I.D., Hose Barb x NPTF, Barbed Hose Fitting</t>
  </si>
  <si>
    <t>1341212C</t>
  </si>
  <si>
    <t>https://www.grainger.com/product/55EU91</t>
  </si>
  <si>
    <t>For 3/4 in Hose I.D., Hose Barb x NPT, Barbed Hose Fitting</t>
  </si>
  <si>
    <t>6AFN6</t>
  </si>
  <si>
    <t>https://www.grainger.com/product/6AFN6</t>
  </si>
  <si>
    <t>Screws</t>
  </si>
  <si>
    <t>#10 Size, 5/8 in Lg, Cabinet Screw</t>
  </si>
  <si>
    <t>KK.MET.SCR.100</t>
  </si>
  <si>
    <t>https://www.grainger.com/product/3KUK5</t>
  </si>
  <si>
    <t>Hangers</t>
  </si>
  <si>
    <t>Swivel Loop, Electro-Galvanized Iron, Split-Ring Hanger</t>
  </si>
  <si>
    <t>22FP59</t>
  </si>
  <si>
    <t>https://www.grainger.com/product/22FP59</t>
  </si>
  <si>
    <t>#8 Size, 1 in Lg, Wood Screw</t>
  </si>
  <si>
    <t>U51876.016.0100</t>
  </si>
  <si>
    <t>https://www.grainger.com/product/31JG65</t>
  </si>
  <si>
    <t>U51866.016.0100</t>
  </si>
  <si>
    <t>https://www.grainger.com/product/31JG35</t>
  </si>
  <si>
    <t>Hanger Plate</t>
  </si>
  <si>
    <t>Electrogalvanized Cast Iron, For 3/8 in Threaded Rod, Rod Hanger Plate</t>
  </si>
  <si>
    <t>365M0037EG</t>
  </si>
  <si>
    <t>https://www.grainger.com/product/1RUZ1</t>
  </si>
  <si>
    <t>Ball Valve</t>
  </si>
  <si>
    <t>APOLLO, 3/4 in, Bronze, Manual Two-Way Ball Valve</t>
  </si>
  <si>
    <t>77C10401A</t>
  </si>
  <si>
    <t>https://www.grainger.com/product/48XH63</t>
  </si>
  <si>
    <t>Flowmeter</t>
  </si>
  <si>
    <t>Omega Flow Transmitter FLR6302D</t>
  </si>
  <si>
    <t>FLR6302D</t>
  </si>
  <si>
    <t>https://www.ebay.com/itm/166028064956</t>
  </si>
  <si>
    <t>464-020</t>
  </si>
  <si>
    <t>https://www.grainger.com/product/1VGT7</t>
  </si>
  <si>
    <t>Electrogalvanized Cast Iron, For 1/2 in Threaded Rod, Plate</t>
  </si>
  <si>
    <t>365M0050EG</t>
  </si>
  <si>
    <t>https://www.grainger.com/product/4UEG9</t>
  </si>
  <si>
    <t>1/2"-13 Thread Size, 2 ft Lg, Fully Threaded Rod</t>
  </si>
  <si>
    <t>U51070.050.2400</t>
  </si>
  <si>
    <t>https://www.grainger.com/product/10W669</t>
  </si>
  <si>
    <t>Std Hex, 1/2"-13 Thread, Hex Nut</t>
  </si>
  <si>
    <t>U51080.050.0001</t>
  </si>
  <si>
    <t>https://www.grainger.com/product/40TW73</t>
  </si>
  <si>
    <t>Drop-In Anchor</t>
  </si>
  <si>
    <t>MKT FASTENING, 1/2"-13 Thread Size, 2 in Overall Lg, Drop-In Anchor</t>
  </si>
  <si>
    <t>1312SS6</t>
  </si>
  <si>
    <t>https://www.grainger.com/product/30PK27</t>
  </si>
  <si>
    <t>1/2"-13 Thread Size, 3/4 in Lg, Machine Screw</t>
  </si>
  <si>
    <t>1-sfm-50c-75</t>
  </si>
  <si>
    <t>https://www.grainger.com/product/854J80</t>
  </si>
  <si>
    <t>Adhesive</t>
  </si>
  <si>
    <t>J-B WELD, ClearWeld, Ambient Cured, Epoxy Adhesive</t>
  </si>
  <si>
    <t>50112</t>
  </si>
  <si>
    <t>https://www.grainger.com/product/39F868</t>
  </si>
  <si>
    <t>PC PRODUCTS, PC-SuperEpoxy, Ambient Cured, Epoxy Adhesive</t>
  </si>
  <si>
    <t>016619</t>
  </si>
  <si>
    <t>https://www.grainger.com/product/4AUW6</t>
  </si>
  <si>
    <t>Iron, For 3/8 in Threaded Rod, Rod Hanger Plate</t>
  </si>
  <si>
    <t>22FP84</t>
  </si>
  <si>
    <t>https://www.grainger.com/product/22FP84</t>
  </si>
  <si>
    <t>6AFL8</t>
  </si>
  <si>
    <t>https://www.grainger.com/product/6AFL8</t>
  </si>
  <si>
    <t>2225P-12</t>
  </si>
  <si>
    <t>https://www.grainger.com/product/60WH38</t>
  </si>
  <si>
    <t>Pipe Cross</t>
  </si>
  <si>
    <t>PARKER, Cross, 3/4 in x 3/4 in x 3/4 in x 3/4 in, Metal Pipe Cross</t>
  </si>
  <si>
    <t>2205P-12</t>
  </si>
  <si>
    <t>https://www.grainger.com/product/13Y906</t>
  </si>
  <si>
    <t>6AFP2</t>
  </si>
  <si>
    <t>https://www.grainger.com/product/6AFP2</t>
  </si>
  <si>
    <t>Pipe Clamp</t>
  </si>
  <si>
    <t>Swivel Loop, Electro-Galvanized Steel, Pipe Clamp</t>
  </si>
  <si>
    <t>454005</t>
  </si>
  <si>
    <t>https://www.grainger.com/product/1RVC2</t>
  </si>
  <si>
    <t>454004</t>
  </si>
  <si>
    <t>https://www.grainger.com/product/1RVC1</t>
  </si>
  <si>
    <t>Channel Fitting</t>
  </si>
  <si>
    <t>Silver, Electro Galvanized, Strut Channel Fitting</t>
  </si>
  <si>
    <t>V717EG</t>
  </si>
  <si>
    <t>https://www.grainger.com/product/793VU2</t>
  </si>
  <si>
    <t>#8 Size, 3/4 in Lg, Wood Screw</t>
  </si>
  <si>
    <t>U51866.016.0075</t>
  </si>
  <si>
    <t>https://www.grainger.com/product/31JG34</t>
  </si>
  <si>
    <t>Spring Nut</t>
  </si>
  <si>
    <t>3/8"-16 Thread Size, 3/8 in Bolt Size, Spring Nut</t>
  </si>
  <si>
    <t>V200 3/8</t>
  </si>
  <si>
    <t>https://www.grainger.com/product/5YE11</t>
  </si>
  <si>
    <t>Washer</t>
  </si>
  <si>
    <t>18-8, Stainless Steel, Flat Washer</t>
  </si>
  <si>
    <t>U51410.037.0001</t>
  </si>
  <si>
    <t>https://www.grainger.com/product/22UG07</t>
  </si>
  <si>
    <t>Stainless Steel, A2, Hex Head Cap Screw</t>
  </si>
  <si>
    <t>U51000.037.0100</t>
  </si>
  <si>
    <t>https://www.grainger.com/product/3AUW4</t>
  </si>
  <si>
    <t>Compartment Box</t>
  </si>
  <si>
    <t>PLANO MOLDING, 11 in x 7 1/4 in x 1 3/4 in, Clear, Compartment Box</t>
  </si>
  <si>
    <t>2-3600-01</t>
  </si>
  <si>
    <t>https://www.grainger.com/product/30F070</t>
  </si>
  <si>
    <t>#10 Size, 1 in Lg, Wood Screw</t>
  </si>
  <si>
    <t>U51876.019.0100</t>
  </si>
  <si>
    <t>https://www.grainger.com/product/31JG71</t>
  </si>
  <si>
    <t>3/8"-16 Thread Size, 2 ft Lg, Fully Threaded Rod</t>
  </si>
  <si>
    <t>U51070.037.2400</t>
  </si>
  <si>
    <t>https://www.grainger.com/product/10W663</t>
  </si>
  <si>
    <t>Nipple (2")</t>
  </si>
  <si>
    <t>Schedule 80, CPVC, Pipe Nipple</t>
  </si>
  <si>
    <t>9861-020</t>
  </si>
  <si>
    <t>https://www.grainger.com/product/6MX55</t>
  </si>
  <si>
    <t>Nipple (3")</t>
  </si>
  <si>
    <t>9861-106</t>
  </si>
  <si>
    <t>https://www.grainger.com/product/6MX66</t>
  </si>
  <si>
    <t>Flange</t>
  </si>
  <si>
    <t>1 1/2 in, Carbon Steel, Metal Pipe Flange</t>
  </si>
  <si>
    <t>151-012-000</t>
  </si>
  <si>
    <t>https://www.grainger.com/product/30WH23</t>
  </si>
  <si>
    <t>304 Pipe</t>
  </si>
  <si>
    <t>304 Stainless Steel, Schedule 40, Pipe</t>
  </si>
  <si>
    <t>T4PPH06WD</t>
  </si>
  <si>
    <t>https://www.grainger.com/product/782G46</t>
  </si>
  <si>
    <t>Pipe Straight</t>
  </si>
  <si>
    <t>1 1/2 in x 1 1/2 in, Butt Weld x Butt Weld, Metal Pipe Straight</t>
  </si>
  <si>
    <t>4381023840</t>
  </si>
  <si>
    <t>https://www.grainger.com/product/1RTU2</t>
  </si>
  <si>
    <t>DIN Rail</t>
  </si>
  <si>
    <t>DIN Rail Mounting, Aluminum, Mounting Track</t>
  </si>
  <si>
    <t>18Z758</t>
  </si>
  <si>
    <t>https://www.grainger.com/product/18Z758</t>
  </si>
  <si>
    <t>3/4 in Nominal Pipe Size, Male NPT, Pipe Nipple</t>
  </si>
  <si>
    <t>793MY3</t>
  </si>
  <si>
    <t>https://www.grainger.com/product/793MY3</t>
  </si>
  <si>
    <t>3/4 in x 3/4 in, Threaded x Threaded, Metal Pipe Straight</t>
  </si>
  <si>
    <t>5P553</t>
  </si>
  <si>
    <t>https://www.grainger.com/product/5P553</t>
  </si>
  <si>
    <t>M12 4 Pin Connector</t>
  </si>
  <si>
    <t>M12 Female Straight 4 Pin Connector Aviation Electrical Socket Cable 2M / 5'</t>
  </si>
  <si>
    <t>https://www.ebay.com/itm/156665159304</t>
  </si>
  <si>
    <t>Straight, 1/2 in x 1/4 in, Metal Pipe Straight</t>
  </si>
  <si>
    <t>706110-0804</t>
  </si>
  <si>
    <t>https://www.grainger.com/product/46M483</t>
  </si>
  <si>
    <t>Bushing</t>
  </si>
  <si>
    <t>Straight, 3/4 in x 1/4 in, Metal Pipe Straight</t>
  </si>
  <si>
    <t>1VFX8</t>
  </si>
  <si>
    <t>https://www.grainger.com/product/1VFX8</t>
  </si>
  <si>
    <t>Pressure Transducer</t>
  </si>
  <si>
    <t>OEM Style, Compact Pressure Transmitters with Mini DIN</t>
  </si>
  <si>
    <t>PX159A-060G5V</t>
  </si>
  <si>
    <t>https://www.dwyeromega.com/en-us/oem-style-compact-pressure-transmitters/PX119/p/PX159A-060G5V</t>
  </si>
  <si>
    <t>Stainless Steel, A2, Hex Tap Bolt</t>
  </si>
  <si>
    <t>U51010.050.0300</t>
  </si>
  <si>
    <t>https://www.grainger.com/product/Hex-Tap-Bolt-Stainless-Steel-41UH04</t>
  </si>
  <si>
    <t>Terminal Bridges</t>
  </si>
  <si>
    <t>FBS10-5</t>
  </si>
  <si>
    <t>FBI 10-6</t>
  </si>
  <si>
    <t>Pressure Transducer cable</t>
  </si>
  <si>
    <t>M12 Cable, 4 pin, for Transmitters, RTD, Thermistor</t>
  </si>
  <si>
    <t>M12C-PUR-4-S-F-10</t>
  </si>
  <si>
    <t>https://www.dwyeromega.com/en-us/m12-cable-4-pin-for-transmitters-rtd-thermistor/M12C/p/M12C-PUR-4-S-F-10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</si>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</sst>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>
    <font>
      <sz val="11"/>
      <name val="Carlito"/>
    </font>
    <font>
      <b/>
      <sz val="11"/>
      <name val="Carlito"/>
    </font>
    <font>
      <sz val="10"/>
      <name val="Carlito"/>
    </font>
    <font>
      <sz val="10"/>
      <color rgb="FF0563C1"/>
      <name val="Carlito"/>
    </font>
    <font>
      <i/>
      <sz val="10"/>
      <name val="Carlito"/>
    </font>
    <font>
      <b/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5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rainger.com/product/13Y763" TargetMode="External"/><Relationship Id="rId21" Type="http://schemas.openxmlformats.org/officeDocument/2006/relationships/hyperlink" Target="https://www.cdwg.com/product/dell-pro-e2425hm-led-monitor-full-hd-1080p-24/8323512" TargetMode="External"/><Relationship Id="rId42" Type="http://schemas.openxmlformats.org/officeDocument/2006/relationships/hyperlink" Target="https://www.grainger.com/product/796K77" TargetMode="External"/><Relationship Id="rId47" Type="http://schemas.openxmlformats.org/officeDocument/2006/relationships/hyperlink" Target="https://www.grainger.com/product/22FP59" TargetMode="External"/><Relationship Id="rId63" Type="http://schemas.openxmlformats.org/officeDocument/2006/relationships/hyperlink" Target="https://www.grainger.com/product/60WH38" TargetMode="External"/><Relationship Id="rId68" Type="http://schemas.openxmlformats.org/officeDocument/2006/relationships/hyperlink" Target="https://www.grainger.com/product/793VU2" TargetMode="External"/><Relationship Id="rId84" Type="http://schemas.openxmlformats.org/officeDocument/2006/relationships/hyperlink" Target="https://www.ebay.com/itm/156665159304" TargetMode="External"/><Relationship Id="rId89" Type="http://schemas.openxmlformats.org/officeDocument/2006/relationships/hyperlink" Target="https://www.dwyeromega.com/en-us/m12-cable-4-pin-for-transmitters-rtd-thermistor/M12C/p/M12C-PUR-4-S-F-10" TargetMode="External"/><Relationship Id="rId16" Type="http://schemas.openxmlformats.org/officeDocument/2006/relationships/hyperlink" Target="https://www.digikey.com/en/products/detail/jonard-tools/JIC-2030/2308356" TargetMode="External"/><Relationship Id="rId11" Type="http://schemas.openxmlformats.org/officeDocument/2006/relationships/hyperlink" Target="https://www.burkert-usa.com/en/products/proportional-valves/controllers/316533" TargetMode="External"/><Relationship Id="rId32" Type="http://schemas.openxmlformats.org/officeDocument/2006/relationships/hyperlink" Target="https://www.grainger.com/product/1VEZ5" TargetMode="External"/><Relationship Id="rId37" Type="http://schemas.openxmlformats.org/officeDocument/2006/relationships/hyperlink" Target="https://www.grainger.com/product/1WB27" TargetMode="External"/><Relationship Id="rId53" Type="http://schemas.openxmlformats.org/officeDocument/2006/relationships/hyperlink" Target="https://www.grainger.com/product/1VGT7" TargetMode="External"/><Relationship Id="rId58" Type="http://schemas.openxmlformats.org/officeDocument/2006/relationships/hyperlink" Target="https://www.grainger.com/product/854J80" TargetMode="External"/><Relationship Id="rId74" Type="http://schemas.openxmlformats.org/officeDocument/2006/relationships/hyperlink" Target="https://www.grainger.com/product/31JG71" TargetMode="External"/><Relationship Id="rId79" Type="http://schemas.openxmlformats.org/officeDocument/2006/relationships/hyperlink" Target="https://www.grainger.com/product/782G46" TargetMode="External"/><Relationship Id="rId5" Type="http://schemas.openxmlformats.org/officeDocument/2006/relationships/hyperlink" Target="https://www.grainger.com/product/53UJ14" TargetMode="External"/><Relationship Id="rId90" Type="http://schemas.openxmlformats.org/officeDocument/2006/relationships/hyperlink" Target="https://www.ebay.com/itm/156665159304" TargetMode="External"/><Relationship Id="rId14" Type="http://schemas.openxmlformats.org/officeDocument/2006/relationships/hyperlink" Target="https://www.burkert-usa.com/en/products/proportional-valves/general-purpose-proportional-valves/164598" TargetMode="External"/><Relationship Id="rId22" Type="http://schemas.openxmlformats.org/officeDocument/2006/relationships/hyperlink" Target="https://www.bhphotovideo.com/c/product/744102-REG/Bosch_UMM_LW_20B_UMM_LW_20B_Monitor_Wall_Mount.html" TargetMode="External"/><Relationship Id="rId27" Type="http://schemas.openxmlformats.org/officeDocument/2006/relationships/hyperlink" Target="https://www.grainger.com/product/4DRC4" TargetMode="External"/><Relationship Id="rId30" Type="http://schemas.openxmlformats.org/officeDocument/2006/relationships/hyperlink" Target="https://www.grainger.com/product/1VER9" TargetMode="External"/><Relationship Id="rId35" Type="http://schemas.openxmlformats.org/officeDocument/2006/relationships/hyperlink" Target="https://www.grainger.com/product/22FP62" TargetMode="External"/><Relationship Id="rId43" Type="http://schemas.openxmlformats.org/officeDocument/2006/relationships/hyperlink" Target="https://www.grainger.com/product/1XGY9" TargetMode="External"/><Relationship Id="rId48" Type="http://schemas.openxmlformats.org/officeDocument/2006/relationships/hyperlink" Target="https://www.grainger.com/product/31JG65" TargetMode="External"/><Relationship Id="rId56" Type="http://schemas.openxmlformats.org/officeDocument/2006/relationships/hyperlink" Target="https://www.grainger.com/product/40TW73" TargetMode="External"/><Relationship Id="rId64" Type="http://schemas.openxmlformats.org/officeDocument/2006/relationships/hyperlink" Target="https://www.grainger.com/product/13Y906" TargetMode="External"/><Relationship Id="rId69" Type="http://schemas.openxmlformats.org/officeDocument/2006/relationships/hyperlink" Target="https://www.grainger.com/product/31JG34" TargetMode="External"/><Relationship Id="rId77" Type="http://schemas.openxmlformats.org/officeDocument/2006/relationships/hyperlink" Target="https://www.grainger.com/product/6MX66" TargetMode="External"/><Relationship Id="rId8" Type="http://schemas.openxmlformats.org/officeDocument/2006/relationships/hyperlink" Target="https://www.grainger.com/product/1MKC2" TargetMode="External"/><Relationship Id="rId51" Type="http://schemas.openxmlformats.org/officeDocument/2006/relationships/hyperlink" Target="https://www.grainger.com/product/48XH63" TargetMode="External"/><Relationship Id="rId72" Type="http://schemas.openxmlformats.org/officeDocument/2006/relationships/hyperlink" Target="https://www.grainger.com/product/3AUW4" TargetMode="External"/><Relationship Id="rId80" Type="http://schemas.openxmlformats.org/officeDocument/2006/relationships/hyperlink" Target="https://www.grainger.com/product/1RTU2" TargetMode="External"/><Relationship Id="rId85" Type="http://schemas.openxmlformats.org/officeDocument/2006/relationships/hyperlink" Target="https://www.grainger.com/product/46M483" TargetMode="External"/><Relationship Id="rId3" Type="http://schemas.openxmlformats.org/officeDocument/2006/relationships/hyperlink" Target="https://www.mscdirect.com/product/details/67473967" TargetMode="External"/><Relationship Id="rId12" Type="http://schemas.openxmlformats.org/officeDocument/2006/relationships/hyperlink" Target="https://www.burkert-usa.com/en/type/8605" TargetMode="External"/><Relationship Id="rId17" Type="http://schemas.openxmlformats.org/officeDocument/2006/relationships/hyperlink" Target="https://www.digikey.com/en/products/detail/klein-tools-inc/34055/24627409" TargetMode="External"/><Relationship Id="rId25" Type="http://schemas.openxmlformats.org/officeDocument/2006/relationships/hyperlink" Target="https://www.grainger.com/product/13Y764" TargetMode="External"/><Relationship Id="rId33" Type="http://schemas.openxmlformats.org/officeDocument/2006/relationships/hyperlink" Target="https://www.grainger.com/product/6RCZ8" TargetMode="External"/><Relationship Id="rId38" Type="http://schemas.openxmlformats.org/officeDocument/2006/relationships/hyperlink" Target="https://www.grainger.com/product/4RDG3" TargetMode="External"/><Relationship Id="rId46" Type="http://schemas.openxmlformats.org/officeDocument/2006/relationships/hyperlink" Target="https://www.grainger.com/product/3KUK5" TargetMode="External"/><Relationship Id="rId59" Type="http://schemas.openxmlformats.org/officeDocument/2006/relationships/hyperlink" Target="https://www.grainger.com/product/39F868" TargetMode="External"/><Relationship Id="rId67" Type="http://schemas.openxmlformats.org/officeDocument/2006/relationships/hyperlink" Target="https://www.grainger.com/product/1RVC1" TargetMode="External"/><Relationship Id="rId20" Type="http://schemas.openxmlformats.org/officeDocument/2006/relationships/hyperlink" Target="https://www.cdwg.com/product/dell-p2424ht-led-monitor-full-hd-1080p-24/7568365" TargetMode="External"/><Relationship Id="rId41" Type="http://schemas.openxmlformats.org/officeDocument/2006/relationships/hyperlink" Target="https://www.grainger.com/product/6RCY9" TargetMode="External"/><Relationship Id="rId54" Type="http://schemas.openxmlformats.org/officeDocument/2006/relationships/hyperlink" Target="https://www.grainger.com/product/4UEG9" TargetMode="External"/><Relationship Id="rId62" Type="http://schemas.openxmlformats.org/officeDocument/2006/relationships/hyperlink" Target="https://www.grainger.com/product/6AFL8" TargetMode="External"/><Relationship Id="rId70" Type="http://schemas.openxmlformats.org/officeDocument/2006/relationships/hyperlink" Target="https://www.grainger.com/product/5YE11" TargetMode="External"/><Relationship Id="rId75" Type="http://schemas.openxmlformats.org/officeDocument/2006/relationships/hyperlink" Target="https://www.grainger.com/product/10W663" TargetMode="External"/><Relationship Id="rId83" Type="http://schemas.openxmlformats.org/officeDocument/2006/relationships/hyperlink" Target="https://www.grainger.com/product/5P553" TargetMode="External"/><Relationship Id="rId88" Type="http://schemas.openxmlformats.org/officeDocument/2006/relationships/hyperlink" Target="https://www.grainger.com/product/Hex-Tap-Bolt-Stainless-Steel-41UH04" TargetMode="External"/><Relationship Id="rId1" Type="http://schemas.openxmlformats.org/officeDocument/2006/relationships/hyperlink" Target="https://www.mscdirect.com/product/details/92012988" TargetMode="External"/><Relationship Id="rId6" Type="http://schemas.openxmlformats.org/officeDocument/2006/relationships/hyperlink" Target="https://www.grainger.com/product/53UH83" TargetMode="External"/><Relationship Id="rId15" Type="http://schemas.openxmlformats.org/officeDocument/2006/relationships/hyperlink" Target="https://www.digikey.com/en/products/detail/belden-inc/76402TS-0081000/8121749" TargetMode="External"/><Relationship Id="rId23" Type="http://schemas.openxmlformats.org/officeDocument/2006/relationships/hyperlink" Target="https://www.grainger.com/product/3AAA2" TargetMode="External"/><Relationship Id="rId28" Type="http://schemas.openxmlformats.org/officeDocument/2006/relationships/hyperlink" Target="https://www.grainger.com/product/1VGU6" TargetMode="External"/><Relationship Id="rId36" Type="http://schemas.openxmlformats.org/officeDocument/2006/relationships/hyperlink" Target="https://www.grainger.com/product/22FP63" TargetMode="External"/><Relationship Id="rId49" Type="http://schemas.openxmlformats.org/officeDocument/2006/relationships/hyperlink" Target="https://www.grainger.com/product/31JG35" TargetMode="External"/><Relationship Id="rId57" Type="http://schemas.openxmlformats.org/officeDocument/2006/relationships/hyperlink" Target="https://www.grainger.com/product/30PK27" TargetMode="External"/><Relationship Id="rId10" Type="http://schemas.openxmlformats.org/officeDocument/2006/relationships/hyperlink" Target="https://www.grainger.com/product/PARKER-Compression-Fitting-Adapter-20YY84" TargetMode="External"/><Relationship Id="rId31" Type="http://schemas.openxmlformats.org/officeDocument/2006/relationships/hyperlink" Target="https://www.grainger.com/product/2CFF9" TargetMode="External"/><Relationship Id="rId44" Type="http://schemas.openxmlformats.org/officeDocument/2006/relationships/hyperlink" Target="https://www.grainger.com/product/55EU91" TargetMode="External"/><Relationship Id="rId52" Type="http://schemas.openxmlformats.org/officeDocument/2006/relationships/hyperlink" Target="https://www.ebay.com/itm/166028064956" TargetMode="External"/><Relationship Id="rId60" Type="http://schemas.openxmlformats.org/officeDocument/2006/relationships/hyperlink" Target="https://www.grainger.com/product/4AUW6" TargetMode="External"/><Relationship Id="rId65" Type="http://schemas.openxmlformats.org/officeDocument/2006/relationships/hyperlink" Target="https://www.grainger.com/product/6AFP2" TargetMode="External"/><Relationship Id="rId73" Type="http://schemas.openxmlformats.org/officeDocument/2006/relationships/hyperlink" Target="https://www.grainger.com/product/30F070" TargetMode="External"/><Relationship Id="rId78" Type="http://schemas.openxmlformats.org/officeDocument/2006/relationships/hyperlink" Target="https://www.grainger.com/product/30WH23" TargetMode="External"/><Relationship Id="rId81" Type="http://schemas.openxmlformats.org/officeDocument/2006/relationships/hyperlink" Target="https://www.grainger.com/product/18Z758" TargetMode="External"/><Relationship Id="rId86" Type="http://schemas.openxmlformats.org/officeDocument/2006/relationships/hyperlink" Target="https://www.grainger.com/product/1VFX8" TargetMode="External"/><Relationship Id="rId4" Type="http://schemas.openxmlformats.org/officeDocument/2006/relationships/hyperlink" Target="https://www.fastenal.com/product/details/99176795" TargetMode="External"/><Relationship Id="rId9" Type="http://schemas.openxmlformats.org/officeDocument/2006/relationships/hyperlink" Target="https://www.grainger.com/product/PARKER-Metal-Pipe-Tee-Tee-13Y864" TargetMode="External"/><Relationship Id="rId13" Type="http://schemas.openxmlformats.org/officeDocument/2006/relationships/hyperlink" Target="https://www.burkert-usa.com/en/products/solenoid-valves/accessories/cable-plugs/314802" TargetMode="External"/><Relationship Id="rId18" Type="http://schemas.openxmlformats.org/officeDocument/2006/relationships/hyperlink" Target="https://www.digikey.com/en/products/detail/american-electrical-inc/1161014/266366" TargetMode="External"/><Relationship Id="rId39" Type="http://schemas.openxmlformats.org/officeDocument/2006/relationships/hyperlink" Target="https://www.grainger.com/product/22FP85" TargetMode="External"/><Relationship Id="rId34" Type="http://schemas.openxmlformats.org/officeDocument/2006/relationships/hyperlink" Target="https://www.grainger.com/product/1VGR6" TargetMode="External"/><Relationship Id="rId50" Type="http://schemas.openxmlformats.org/officeDocument/2006/relationships/hyperlink" Target="https://www.grainger.com/product/1RUZ1" TargetMode="External"/><Relationship Id="rId55" Type="http://schemas.openxmlformats.org/officeDocument/2006/relationships/hyperlink" Target="https://www.grainger.com/product/10W669" TargetMode="External"/><Relationship Id="rId76" Type="http://schemas.openxmlformats.org/officeDocument/2006/relationships/hyperlink" Target="https://www.grainger.com/product/6MX55" TargetMode="External"/><Relationship Id="rId7" Type="http://schemas.openxmlformats.org/officeDocument/2006/relationships/hyperlink" Target="https://www.grainger.com/product/Metal-Pipe-Flange-Flange-4WPV1" TargetMode="External"/><Relationship Id="rId71" Type="http://schemas.openxmlformats.org/officeDocument/2006/relationships/hyperlink" Target="https://www.grainger.com/product/22UG07" TargetMode="External"/><Relationship Id="rId2" Type="http://schemas.openxmlformats.org/officeDocument/2006/relationships/hyperlink" Target="https://www.mscdirect.com/product/details/67436964" TargetMode="External"/><Relationship Id="rId29" Type="http://schemas.openxmlformats.org/officeDocument/2006/relationships/hyperlink" Target="https://www.grainger.com/product/1VGU2" TargetMode="External"/><Relationship Id="rId24" Type="http://schemas.openxmlformats.org/officeDocument/2006/relationships/hyperlink" Target="https://www.grainger.com/product/5ZY28" TargetMode="External"/><Relationship Id="rId40" Type="http://schemas.openxmlformats.org/officeDocument/2006/relationships/hyperlink" Target="https://www.grainger.com/product/6RDA5" TargetMode="External"/><Relationship Id="rId45" Type="http://schemas.openxmlformats.org/officeDocument/2006/relationships/hyperlink" Target="https://www.grainger.com/product/6AFN6" TargetMode="External"/><Relationship Id="rId66" Type="http://schemas.openxmlformats.org/officeDocument/2006/relationships/hyperlink" Target="https://www.grainger.com/product/1RVC2" TargetMode="External"/><Relationship Id="rId87" Type="http://schemas.openxmlformats.org/officeDocument/2006/relationships/hyperlink" Target="https://www.dwyeromega.com/en-us/oem-style-compact-pressure-transmitters/PX119/p/PX159A-060G5V" TargetMode="External"/><Relationship Id="rId61" Type="http://schemas.openxmlformats.org/officeDocument/2006/relationships/hyperlink" Target="https://www.grainger.com/product/22FP84" TargetMode="External"/><Relationship Id="rId82" Type="http://schemas.openxmlformats.org/officeDocument/2006/relationships/hyperlink" Target="https://www.grainger.com/product/793MY3" TargetMode="External"/><Relationship Id="rId19" Type="http://schemas.openxmlformats.org/officeDocument/2006/relationships/hyperlink" Target="https://www.bhphotovideo.com/c/product/744102-REG/Bosch_UMM_LW_20B_UMM_LW_20B_Monitor_Wall_Moun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tabSelected="1" zoomScale="130" zoomScaleNormal="130" workbookViewId="0">
      <selection activeCell="B21" sqref="B21"/>
    </sheetView>
  </sheetViews>
  <sheetFormatPr defaultRowHeight="14.25"/>
  <cols>
    <col min="1" max="1" width="24" customWidth="1"/>
    <col min="2" max="2" width="62" customWidth="1"/>
    <col min="3" max="3" width="24" customWidth="1"/>
    <col min="4" max="6" width="15" customWidth="1"/>
    <col min="7" max="7" width="42" customWidth="1"/>
    <col min="8" max="8" width="72" customWidth="1"/>
    <col min="9" max="9" width="48" customWidth="1"/>
    <col min="10" max="13" width="20" customWidth="1"/>
  </cols>
  <sheetData>
    <row r="1" spans="1:13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>
      <c r="A2" s="2" t="s">
        <v>13</v>
      </c>
      <c r="B2" s="2" t="s">
        <v>14</v>
      </c>
      <c r="C2" s="2" t="s">
        <v>15</v>
      </c>
      <c r="D2" s="3">
        <v>1</v>
      </c>
      <c r="E2" s="4">
        <v>25.58</v>
      </c>
      <c r="F2" s="4">
        <f t="shared" ref="F2:F33" si="0">D2*E2</f>
        <v>25.58</v>
      </c>
      <c r="G2" s="6"/>
      <c r="H2" s="5" t="s">
        <v>16</v>
      </c>
      <c r="I2" s="5"/>
      <c r="J2" s="2"/>
      <c r="K2" s="2"/>
      <c r="L2" s="2"/>
      <c r="M2" s="2"/>
    </row>
    <row r="3" spans="1:13" ht="15" customHeight="1">
      <c r="A3" s="2" t="s">
        <v>17</v>
      </c>
      <c r="B3" s="2" t="s">
        <v>18</v>
      </c>
      <c r="C3" s="2" t="s">
        <v>19</v>
      </c>
      <c r="D3" s="3">
        <v>10</v>
      </c>
      <c r="E3" s="4">
        <v>1.71</v>
      </c>
      <c r="F3" s="4">
        <f t="shared" si="0"/>
        <v>17.100000000000001</v>
      </c>
      <c r="G3" s="6"/>
      <c r="H3" s="5" t="s">
        <v>20</v>
      </c>
      <c r="I3" s="5"/>
      <c r="J3" s="2"/>
      <c r="K3" s="2"/>
      <c r="L3" s="2"/>
      <c r="M3" s="2"/>
    </row>
    <row r="4" spans="1:13" ht="15" customHeight="1">
      <c r="A4" s="2" t="s">
        <v>21</v>
      </c>
      <c r="B4" s="2" t="s">
        <v>22</v>
      </c>
      <c r="C4" s="2" t="s">
        <v>23</v>
      </c>
      <c r="D4" s="3">
        <v>10</v>
      </c>
      <c r="E4" s="4">
        <v>0.47</v>
      </c>
      <c r="F4" s="4">
        <f t="shared" si="0"/>
        <v>4.6999999999999993</v>
      </c>
      <c r="G4" s="6"/>
      <c r="H4" s="5" t="s">
        <v>24</v>
      </c>
      <c r="I4" s="5"/>
      <c r="J4" s="2"/>
      <c r="K4" s="2"/>
      <c r="L4" s="2"/>
      <c r="M4" s="2"/>
    </row>
    <row r="5" spans="1:13" ht="15" customHeight="1">
      <c r="A5" s="2" t="s">
        <v>13</v>
      </c>
      <c r="B5" s="2" t="s">
        <v>25</v>
      </c>
      <c r="C5" s="2" t="s">
        <v>26</v>
      </c>
      <c r="D5" s="3">
        <v>6</v>
      </c>
      <c r="E5" s="4">
        <v>5.45</v>
      </c>
      <c r="F5" s="4">
        <f t="shared" si="0"/>
        <v>32.700000000000003</v>
      </c>
      <c r="G5" s="6"/>
      <c r="H5" s="5" t="s">
        <v>27</v>
      </c>
      <c r="I5" s="5"/>
      <c r="J5" s="2"/>
      <c r="K5" s="2"/>
      <c r="L5" s="2"/>
      <c r="M5" s="2"/>
    </row>
    <row r="6" spans="1:13" ht="15" customHeight="1">
      <c r="A6" s="2" t="s">
        <v>13</v>
      </c>
      <c r="B6" s="2" t="s">
        <v>28</v>
      </c>
      <c r="C6" s="2" t="s">
        <v>29</v>
      </c>
      <c r="D6" s="3">
        <v>3</v>
      </c>
      <c r="E6" s="4">
        <v>25.94</v>
      </c>
      <c r="F6" s="4">
        <f t="shared" si="0"/>
        <v>77.820000000000007</v>
      </c>
      <c r="G6" s="6"/>
      <c r="H6" s="5" t="s">
        <v>30</v>
      </c>
      <c r="I6" s="5"/>
      <c r="J6" s="2"/>
      <c r="K6" s="2"/>
      <c r="L6" s="2"/>
      <c r="M6" s="2"/>
    </row>
    <row r="7" spans="1:13" ht="15" customHeight="1">
      <c r="A7" s="2" t="s">
        <v>31</v>
      </c>
      <c r="B7" s="2" t="s">
        <v>32</v>
      </c>
      <c r="C7" s="2" t="s">
        <v>33</v>
      </c>
      <c r="D7" s="3">
        <v>3</v>
      </c>
      <c r="E7" s="4">
        <v>10.41</v>
      </c>
      <c r="F7" s="4">
        <f t="shared" si="0"/>
        <v>31.23</v>
      </c>
      <c r="G7" s="6"/>
      <c r="H7" s="5" t="s">
        <v>34</v>
      </c>
      <c r="I7" s="5"/>
      <c r="J7" s="2"/>
      <c r="K7" s="2"/>
      <c r="L7" s="2"/>
      <c r="M7" s="2"/>
    </row>
    <row r="8" spans="1:13" ht="15" customHeight="1">
      <c r="A8" s="2" t="s">
        <v>35</v>
      </c>
      <c r="B8" s="2" t="s">
        <v>36</v>
      </c>
      <c r="C8" s="2" t="s">
        <v>37</v>
      </c>
      <c r="D8" s="3">
        <v>1</v>
      </c>
      <c r="E8" s="4">
        <v>93.93</v>
      </c>
      <c r="F8" s="4">
        <f t="shared" si="0"/>
        <v>93.93</v>
      </c>
      <c r="G8" s="6"/>
      <c r="H8" s="5" t="s">
        <v>38</v>
      </c>
      <c r="I8" s="5"/>
      <c r="J8" s="2"/>
      <c r="K8" s="2"/>
      <c r="L8" s="2"/>
      <c r="M8" s="2"/>
    </row>
    <row r="9" spans="1:13" ht="15" customHeight="1">
      <c r="A9" s="2" t="s">
        <v>39</v>
      </c>
      <c r="B9" s="2" t="s">
        <v>40</v>
      </c>
      <c r="C9" s="2" t="s">
        <v>41</v>
      </c>
      <c r="D9" s="3">
        <v>1</v>
      </c>
      <c r="E9" s="4">
        <v>5.99</v>
      </c>
      <c r="F9" s="4">
        <f t="shared" si="0"/>
        <v>5.99</v>
      </c>
      <c r="G9" s="6"/>
      <c r="H9" s="5" t="s">
        <v>42</v>
      </c>
      <c r="I9" s="5"/>
      <c r="J9" s="2"/>
      <c r="K9" s="2"/>
      <c r="L9" s="2"/>
      <c r="M9" s="2"/>
    </row>
    <row r="10" spans="1:13" ht="15" customHeight="1">
      <c r="A10" s="2" t="s">
        <v>43</v>
      </c>
      <c r="B10" s="2" t="s">
        <v>44</v>
      </c>
      <c r="C10" s="2" t="s">
        <v>45</v>
      </c>
      <c r="D10" s="3">
        <v>1</v>
      </c>
      <c r="E10" s="4">
        <v>41.22</v>
      </c>
      <c r="F10" s="4">
        <f t="shared" si="0"/>
        <v>41.22</v>
      </c>
      <c r="G10" s="6"/>
      <c r="H10" s="5" t="s">
        <v>46</v>
      </c>
      <c r="I10" s="5"/>
      <c r="J10" s="2"/>
      <c r="K10" s="2"/>
      <c r="L10" s="2"/>
      <c r="M10" s="2"/>
    </row>
    <row r="11" spans="1:13" ht="15" customHeight="1">
      <c r="A11" s="2" t="s">
        <v>47</v>
      </c>
      <c r="B11" s="2" t="s">
        <v>48</v>
      </c>
      <c r="C11" s="2" t="s">
        <v>49</v>
      </c>
      <c r="D11" s="3">
        <v>1</v>
      </c>
      <c r="E11" s="4">
        <v>60.89</v>
      </c>
      <c r="F11" s="4">
        <f t="shared" si="0"/>
        <v>60.89</v>
      </c>
      <c r="G11" s="6"/>
      <c r="H11" s="5" t="s">
        <v>50</v>
      </c>
      <c r="I11" s="5"/>
      <c r="J11" s="2"/>
      <c r="K11" s="2"/>
      <c r="L11" s="2"/>
      <c r="M11" s="2"/>
    </row>
    <row r="12" spans="1:13" ht="15" customHeight="1">
      <c r="A12" s="2" t="s">
        <v>51</v>
      </c>
      <c r="B12" s="2" t="s">
        <v>51</v>
      </c>
      <c r="C12" s="2"/>
      <c r="D12" s="3">
        <v>1</v>
      </c>
      <c r="E12" s="4">
        <v>27.83</v>
      </c>
      <c r="F12" s="4">
        <f t="shared" si="0"/>
        <v>27.83</v>
      </c>
      <c r="G12" s="6" t="s">
        <v>52</v>
      </c>
      <c r="H12" s="5"/>
      <c r="I12" s="5"/>
      <c r="J12" s="2"/>
      <c r="K12" s="2"/>
      <c r="L12" s="2"/>
      <c r="M12" s="2"/>
    </row>
    <row r="13" spans="1:13" ht="15" customHeight="1">
      <c r="A13" s="2" t="s">
        <v>53</v>
      </c>
      <c r="B13" s="2" t="s">
        <v>54</v>
      </c>
      <c r="C13" s="2" t="s">
        <v>55</v>
      </c>
      <c r="D13" s="3">
        <v>1</v>
      </c>
      <c r="E13" s="4">
        <v>370</v>
      </c>
      <c r="F13" s="4">
        <f t="shared" si="0"/>
        <v>370</v>
      </c>
      <c r="G13" s="6"/>
      <c r="H13" s="5" t="s">
        <v>56</v>
      </c>
      <c r="I13" s="5"/>
      <c r="J13" s="2"/>
      <c r="K13" s="2"/>
      <c r="L13" s="2"/>
      <c r="M13" s="2"/>
    </row>
    <row r="14" spans="1:13" ht="15" customHeight="1">
      <c r="A14" s="2" t="s">
        <v>57</v>
      </c>
      <c r="B14" s="2" t="s">
        <v>58</v>
      </c>
      <c r="C14" s="2" t="s">
        <v>59</v>
      </c>
      <c r="D14" s="3">
        <v>1</v>
      </c>
      <c r="E14" s="4">
        <v>312</v>
      </c>
      <c r="F14" s="4">
        <f t="shared" si="0"/>
        <v>312</v>
      </c>
      <c r="G14" s="6"/>
      <c r="H14" s="5" t="s">
        <v>60</v>
      </c>
      <c r="I14" s="5"/>
      <c r="J14" s="2"/>
      <c r="K14" s="2"/>
      <c r="L14" s="2"/>
      <c r="M14" s="2"/>
    </row>
    <row r="15" spans="1:13" ht="15" customHeight="1">
      <c r="A15" s="2" t="s">
        <v>61</v>
      </c>
      <c r="B15" s="2" t="s">
        <v>62</v>
      </c>
      <c r="C15" s="2" t="s">
        <v>63</v>
      </c>
      <c r="D15" s="3">
        <v>1</v>
      </c>
      <c r="E15" s="4">
        <v>5.9</v>
      </c>
      <c r="F15" s="4">
        <f t="shared" si="0"/>
        <v>5.9</v>
      </c>
      <c r="G15" s="6"/>
      <c r="H15" s="5" t="s">
        <v>64</v>
      </c>
      <c r="I15" s="5"/>
      <c r="J15" s="2"/>
      <c r="K15" s="2"/>
      <c r="L15" s="2"/>
      <c r="M15" s="2"/>
    </row>
    <row r="16" spans="1:13" ht="15" customHeight="1">
      <c r="A16" s="2" t="s">
        <v>65</v>
      </c>
      <c r="B16" s="2" t="s">
        <v>66</v>
      </c>
      <c r="C16" s="2" t="s">
        <v>67</v>
      </c>
      <c r="D16" s="3">
        <v>1</v>
      </c>
      <c r="E16" s="4">
        <v>1610</v>
      </c>
      <c r="F16" s="4">
        <f t="shared" si="0"/>
        <v>1610</v>
      </c>
      <c r="G16" s="6"/>
      <c r="H16" s="5" t="s">
        <v>68</v>
      </c>
      <c r="I16" s="5"/>
      <c r="J16" s="2"/>
      <c r="K16" s="2"/>
      <c r="L16" s="2"/>
      <c r="M16" s="2"/>
    </row>
    <row r="17" spans="1:13" ht="15" customHeight="1">
      <c r="A17" s="2" t="s">
        <v>69</v>
      </c>
      <c r="B17" s="2" t="s">
        <v>70</v>
      </c>
      <c r="C17" s="2" t="s">
        <v>71</v>
      </c>
      <c r="D17" s="3">
        <v>25</v>
      </c>
      <c r="E17" s="4">
        <v>3.97</v>
      </c>
      <c r="F17" s="4">
        <f t="shared" si="0"/>
        <v>99.25</v>
      </c>
      <c r="G17" s="6"/>
      <c r="H17" s="5" t="s">
        <v>72</v>
      </c>
      <c r="I17" s="5"/>
      <c r="J17" s="2"/>
      <c r="K17" s="2"/>
      <c r="L17" s="2"/>
      <c r="M17" s="2"/>
    </row>
    <row r="18" spans="1:13" ht="15" customHeight="1">
      <c r="A18" s="2" t="s">
        <v>73</v>
      </c>
      <c r="B18" s="2" t="s">
        <v>73</v>
      </c>
      <c r="C18" s="2"/>
      <c r="D18" s="3">
        <v>1</v>
      </c>
      <c r="E18" s="4">
        <v>839.97</v>
      </c>
      <c r="F18" s="4">
        <f t="shared" si="0"/>
        <v>839.97</v>
      </c>
      <c r="G18" s="6" t="s">
        <v>52</v>
      </c>
      <c r="H18" s="5"/>
      <c r="I18" s="5"/>
      <c r="J18" s="2"/>
      <c r="K18" s="2"/>
      <c r="L18" s="2"/>
      <c r="M18" s="2"/>
    </row>
    <row r="19" spans="1:13" ht="15" customHeight="1">
      <c r="A19" s="2" t="s">
        <v>74</v>
      </c>
      <c r="B19" s="2" t="s">
        <v>75</v>
      </c>
      <c r="C19" s="2" t="s">
        <v>76</v>
      </c>
      <c r="D19" s="3">
        <v>2</v>
      </c>
      <c r="E19" s="4">
        <v>14.02</v>
      </c>
      <c r="F19" s="4">
        <f t="shared" si="0"/>
        <v>28.04</v>
      </c>
      <c r="G19" s="6"/>
      <c r="H19" s="5" t="s">
        <v>77</v>
      </c>
      <c r="I19" s="5"/>
      <c r="J19" s="2"/>
      <c r="K19" s="2"/>
      <c r="L19" s="2"/>
      <c r="M19" s="2"/>
    </row>
    <row r="20" spans="1:13" ht="15" customHeight="1">
      <c r="A20" s="2" t="s">
        <v>78</v>
      </c>
      <c r="B20" s="2" t="s">
        <v>79</v>
      </c>
      <c r="C20" s="2" t="s">
        <v>80</v>
      </c>
      <c r="D20" s="3">
        <v>1</v>
      </c>
      <c r="E20" s="4">
        <v>33.58</v>
      </c>
      <c r="F20" s="4">
        <f t="shared" si="0"/>
        <v>33.58</v>
      </c>
      <c r="G20" s="6"/>
      <c r="H20" s="5" t="s">
        <v>81</v>
      </c>
      <c r="I20" s="5"/>
      <c r="J20" s="2"/>
      <c r="K20" s="2"/>
      <c r="L20" s="2"/>
      <c r="M20" s="2"/>
    </row>
    <row r="21" spans="1:13" ht="15" customHeight="1">
      <c r="A21" s="2" t="s">
        <v>82</v>
      </c>
      <c r="B21" s="2" t="s">
        <v>83</v>
      </c>
      <c r="C21" s="2" t="s">
        <v>84</v>
      </c>
      <c r="D21" s="3">
        <v>250</v>
      </c>
      <c r="E21" s="4">
        <v>0.12664</v>
      </c>
      <c r="F21" s="4">
        <f t="shared" si="0"/>
        <v>31.66</v>
      </c>
      <c r="G21" s="6"/>
      <c r="H21" s="5" t="s">
        <v>85</v>
      </c>
      <c r="I21" s="5"/>
      <c r="J21" s="2"/>
      <c r="K21" s="2"/>
      <c r="L21" s="2"/>
      <c r="M21" s="2"/>
    </row>
    <row r="22" spans="1:13" ht="15" customHeight="1">
      <c r="A22" s="2" t="s">
        <v>86</v>
      </c>
      <c r="B22" s="2" t="s">
        <v>87</v>
      </c>
      <c r="C22" s="2" t="s">
        <v>88</v>
      </c>
      <c r="D22" s="3">
        <v>1</v>
      </c>
      <c r="E22" s="4">
        <v>59</v>
      </c>
      <c r="F22" s="4">
        <f t="shared" si="0"/>
        <v>59</v>
      </c>
      <c r="G22" s="6"/>
      <c r="H22" s="5" t="s">
        <v>89</v>
      </c>
      <c r="I22" s="5"/>
      <c r="J22" s="2"/>
      <c r="K22" s="2"/>
      <c r="L22" s="2"/>
      <c r="M22" s="2"/>
    </row>
    <row r="23" spans="1:13" ht="15" customHeight="1">
      <c r="A23" s="2" t="s">
        <v>90</v>
      </c>
      <c r="B23" s="2" t="s">
        <v>91</v>
      </c>
      <c r="C23" s="2" t="s">
        <v>92</v>
      </c>
      <c r="D23" s="3">
        <v>2</v>
      </c>
      <c r="E23" s="4">
        <v>341.13</v>
      </c>
      <c r="F23" s="4">
        <f t="shared" si="0"/>
        <v>682.26</v>
      </c>
      <c r="G23" s="6"/>
      <c r="H23" s="5" t="s">
        <v>93</v>
      </c>
      <c r="I23" s="5"/>
      <c r="J23" s="2"/>
      <c r="K23" s="2"/>
      <c r="L23" s="2"/>
      <c r="M23" s="2"/>
    </row>
    <row r="24" spans="1:13" ht="15" customHeight="1">
      <c r="A24" s="2" t="s">
        <v>94</v>
      </c>
      <c r="B24" s="2" t="s">
        <v>95</v>
      </c>
      <c r="C24" s="2" t="s">
        <v>96</v>
      </c>
      <c r="D24" s="3">
        <v>2</v>
      </c>
      <c r="E24" s="4">
        <v>108.02</v>
      </c>
      <c r="F24" s="4">
        <f t="shared" si="0"/>
        <v>216.04</v>
      </c>
      <c r="G24" s="6"/>
      <c r="H24" s="5" t="s">
        <v>97</v>
      </c>
      <c r="I24" s="5"/>
      <c r="J24" s="2"/>
      <c r="K24" s="2"/>
      <c r="L24" s="2"/>
      <c r="M24" s="2"/>
    </row>
    <row r="25" spans="1:13" ht="15" customHeight="1">
      <c r="A25" s="2" t="s">
        <v>86</v>
      </c>
      <c r="B25" s="2" t="s">
        <v>87</v>
      </c>
      <c r="C25" s="2" t="s">
        <v>88</v>
      </c>
      <c r="D25" s="3">
        <v>5</v>
      </c>
      <c r="E25" s="4">
        <v>59</v>
      </c>
      <c r="F25" s="4">
        <f t="shared" si="0"/>
        <v>295</v>
      </c>
      <c r="G25" s="6"/>
      <c r="H25" s="5" t="s">
        <v>89</v>
      </c>
      <c r="I25" s="5"/>
      <c r="J25" s="2"/>
      <c r="K25" s="2"/>
      <c r="L25" s="2"/>
      <c r="M25" s="2"/>
    </row>
    <row r="26" spans="1:13" ht="15" customHeight="1">
      <c r="A26" s="2" t="s">
        <v>98</v>
      </c>
      <c r="B26" s="2" t="s">
        <v>99</v>
      </c>
      <c r="C26" s="2" t="s">
        <v>100</v>
      </c>
      <c r="D26" s="3">
        <v>4</v>
      </c>
      <c r="E26" s="4">
        <v>20.99</v>
      </c>
      <c r="F26" s="4">
        <f t="shared" si="0"/>
        <v>83.96</v>
      </c>
      <c r="G26" s="6"/>
      <c r="H26" s="5" t="s">
        <v>101</v>
      </c>
      <c r="I26" s="5"/>
      <c r="J26" s="2"/>
      <c r="K26" s="2"/>
      <c r="L26" s="2"/>
      <c r="M26" s="2"/>
    </row>
    <row r="27" spans="1:13" ht="15" customHeight="1">
      <c r="A27" s="2" t="s">
        <v>47</v>
      </c>
      <c r="B27" s="2" t="s">
        <v>102</v>
      </c>
      <c r="C27" s="2" t="s">
        <v>103</v>
      </c>
      <c r="D27" s="3">
        <v>4</v>
      </c>
      <c r="E27" s="4">
        <v>7.46</v>
      </c>
      <c r="F27" s="4">
        <f t="shared" si="0"/>
        <v>29.84</v>
      </c>
      <c r="G27" s="6"/>
      <c r="H27" s="5" t="s">
        <v>104</v>
      </c>
      <c r="I27" s="5"/>
      <c r="J27" s="2"/>
      <c r="K27" s="2"/>
      <c r="L27" s="2"/>
      <c r="M27" s="2"/>
    </row>
    <row r="28" spans="1:13" ht="15" customHeight="1">
      <c r="A28" s="2" t="s">
        <v>105</v>
      </c>
      <c r="B28" s="2" t="s">
        <v>106</v>
      </c>
      <c r="C28" s="2" t="s">
        <v>107</v>
      </c>
      <c r="D28" s="3">
        <v>4</v>
      </c>
      <c r="E28" s="4">
        <v>13.23</v>
      </c>
      <c r="F28" s="4">
        <f t="shared" si="0"/>
        <v>52.92</v>
      </c>
      <c r="G28" s="6"/>
      <c r="H28" s="5" t="s">
        <v>108</v>
      </c>
      <c r="I28" s="5"/>
      <c r="J28" s="2"/>
      <c r="K28" s="2"/>
      <c r="L28" s="2"/>
      <c r="M28" s="2"/>
    </row>
    <row r="29" spans="1:13" ht="15" customHeight="1">
      <c r="A29" s="2" t="s">
        <v>109</v>
      </c>
      <c r="B29" s="2" t="s">
        <v>110</v>
      </c>
      <c r="C29" s="2" t="s">
        <v>111</v>
      </c>
      <c r="D29" s="3">
        <v>4</v>
      </c>
      <c r="E29" s="4">
        <v>12.78</v>
      </c>
      <c r="F29" s="4">
        <f t="shared" si="0"/>
        <v>51.12</v>
      </c>
      <c r="G29" s="6"/>
      <c r="H29" s="5" t="s">
        <v>112</v>
      </c>
      <c r="I29" s="5"/>
      <c r="J29" s="2"/>
      <c r="K29" s="2"/>
      <c r="L29" s="2"/>
      <c r="M29" s="2"/>
    </row>
    <row r="30" spans="1:13" ht="15" customHeight="1">
      <c r="A30" s="2" t="s">
        <v>113</v>
      </c>
      <c r="B30" s="2" t="s">
        <v>114</v>
      </c>
      <c r="C30" s="2" t="s">
        <v>115</v>
      </c>
      <c r="D30" s="3">
        <v>4</v>
      </c>
      <c r="E30" s="4">
        <v>9.99</v>
      </c>
      <c r="F30" s="4">
        <f t="shared" si="0"/>
        <v>39.96</v>
      </c>
      <c r="G30" s="6"/>
      <c r="H30" s="5" t="s">
        <v>116</v>
      </c>
      <c r="I30" s="5"/>
      <c r="J30" s="2"/>
      <c r="K30" s="2"/>
      <c r="L30" s="2"/>
      <c r="M30" s="2"/>
    </row>
    <row r="31" spans="1:13" ht="15" customHeight="1">
      <c r="A31" s="2" t="s">
        <v>117</v>
      </c>
      <c r="B31" s="2" t="s">
        <v>114</v>
      </c>
      <c r="C31" s="2" t="s">
        <v>118</v>
      </c>
      <c r="D31" s="3">
        <v>4</v>
      </c>
      <c r="E31" s="4">
        <v>22.34</v>
      </c>
      <c r="F31" s="4">
        <f t="shared" si="0"/>
        <v>89.36</v>
      </c>
      <c r="G31" s="6"/>
      <c r="H31" s="5" t="s">
        <v>119</v>
      </c>
      <c r="I31" s="5"/>
      <c r="J31" s="2"/>
      <c r="K31" s="2"/>
      <c r="L31" s="2"/>
      <c r="M31" s="2"/>
    </row>
    <row r="32" spans="1:13" ht="15" customHeight="1">
      <c r="A32" s="2" t="s">
        <v>117</v>
      </c>
      <c r="B32" s="2" t="s">
        <v>114</v>
      </c>
      <c r="C32" s="2" t="s">
        <v>120</v>
      </c>
      <c r="D32" s="3">
        <v>4</v>
      </c>
      <c r="E32" s="4">
        <v>16.89</v>
      </c>
      <c r="F32" s="4">
        <f t="shared" si="0"/>
        <v>67.56</v>
      </c>
      <c r="G32" s="6"/>
      <c r="H32" s="5" t="s">
        <v>121</v>
      </c>
      <c r="I32" s="5"/>
      <c r="J32" s="2"/>
      <c r="K32" s="2"/>
      <c r="L32" s="2"/>
      <c r="M32" s="2"/>
    </row>
    <row r="33" spans="1:13" ht="15" customHeight="1">
      <c r="A33" s="2" t="s">
        <v>122</v>
      </c>
      <c r="B33" s="2" t="s">
        <v>123</v>
      </c>
      <c r="C33" s="2" t="s">
        <v>124</v>
      </c>
      <c r="D33" s="3">
        <v>2</v>
      </c>
      <c r="E33" s="4">
        <v>21.79</v>
      </c>
      <c r="F33" s="4">
        <f t="shared" si="0"/>
        <v>43.58</v>
      </c>
      <c r="G33" s="6" t="s">
        <v>125</v>
      </c>
      <c r="H33" s="5" t="s">
        <v>126</v>
      </c>
      <c r="I33" s="5"/>
      <c r="J33" s="2"/>
      <c r="K33" s="2"/>
      <c r="L33" s="2"/>
      <c r="M33" s="2"/>
    </row>
    <row r="34" spans="1:13" ht="15" customHeight="1">
      <c r="A34" s="2" t="s">
        <v>122</v>
      </c>
      <c r="B34" s="2" t="s">
        <v>127</v>
      </c>
      <c r="C34" s="2" t="s">
        <v>128</v>
      </c>
      <c r="D34" s="3">
        <v>2</v>
      </c>
      <c r="E34" s="4">
        <v>19.86</v>
      </c>
      <c r="F34" s="4">
        <f t="shared" ref="F34:F65" si="1">D34*E34</f>
        <v>39.72</v>
      </c>
      <c r="G34" s="6"/>
      <c r="H34" s="5" t="s">
        <v>129</v>
      </c>
      <c r="I34" s="5"/>
      <c r="J34" s="2"/>
      <c r="K34" s="2"/>
      <c r="L34" s="2"/>
      <c r="M34" s="2"/>
    </row>
    <row r="35" spans="1:13" ht="15" customHeight="1">
      <c r="A35" s="2" t="s">
        <v>130</v>
      </c>
      <c r="B35" s="2" t="s">
        <v>131</v>
      </c>
      <c r="C35" s="2" t="s">
        <v>132</v>
      </c>
      <c r="D35" s="3">
        <v>1</v>
      </c>
      <c r="E35" s="4">
        <v>36.979999999999997</v>
      </c>
      <c r="F35" s="4">
        <f t="shared" si="1"/>
        <v>36.979999999999997</v>
      </c>
      <c r="G35" s="6"/>
      <c r="H35" s="5" t="s">
        <v>133</v>
      </c>
      <c r="I35" s="5"/>
      <c r="J35" s="2"/>
      <c r="K35" s="2"/>
      <c r="L35" s="2"/>
      <c r="M35" s="2"/>
    </row>
    <row r="36" spans="1:13" ht="15" customHeight="1">
      <c r="A36" s="2" t="s">
        <v>130</v>
      </c>
      <c r="B36" s="2" t="s">
        <v>134</v>
      </c>
      <c r="C36" s="2" t="s">
        <v>135</v>
      </c>
      <c r="D36" s="3">
        <v>1</v>
      </c>
      <c r="E36" s="4">
        <v>26.2</v>
      </c>
      <c r="F36" s="4">
        <f t="shared" si="1"/>
        <v>26.2</v>
      </c>
      <c r="G36" s="6"/>
      <c r="H36" s="5" t="s">
        <v>136</v>
      </c>
      <c r="I36" s="5"/>
      <c r="J36" s="2"/>
      <c r="K36" s="2"/>
      <c r="L36" s="2"/>
      <c r="M36" s="2"/>
    </row>
    <row r="37" spans="1:13" ht="15" customHeight="1">
      <c r="A37" s="2" t="s">
        <v>117</v>
      </c>
      <c r="B37" s="2" t="s">
        <v>137</v>
      </c>
      <c r="C37" s="2" t="s">
        <v>138</v>
      </c>
      <c r="D37" s="3">
        <v>4</v>
      </c>
      <c r="E37" s="4">
        <v>19.22</v>
      </c>
      <c r="F37" s="4">
        <f t="shared" si="1"/>
        <v>76.88</v>
      </c>
      <c r="G37" s="6"/>
      <c r="H37" s="5" t="s">
        <v>139</v>
      </c>
      <c r="I37" s="5"/>
      <c r="J37" s="2"/>
      <c r="K37" s="2"/>
      <c r="L37" s="2"/>
      <c r="M37" s="2"/>
    </row>
    <row r="38" spans="1:13" ht="15" customHeight="1">
      <c r="A38" s="2" t="s">
        <v>140</v>
      </c>
      <c r="B38" s="2" t="s">
        <v>141</v>
      </c>
      <c r="C38" s="2" t="s">
        <v>142</v>
      </c>
      <c r="D38" s="3">
        <v>6</v>
      </c>
      <c r="E38" s="4">
        <v>2.48</v>
      </c>
      <c r="F38" s="4">
        <f t="shared" si="1"/>
        <v>14.879999999999999</v>
      </c>
      <c r="G38" s="6"/>
      <c r="H38" s="5" t="s">
        <v>143</v>
      </c>
      <c r="I38" s="5"/>
      <c r="J38" s="2"/>
      <c r="K38" s="2"/>
      <c r="L38" s="2"/>
      <c r="M38" s="2"/>
    </row>
    <row r="39" spans="1:13" ht="15" customHeight="1">
      <c r="A39" s="2" t="s">
        <v>140</v>
      </c>
      <c r="B39" s="2" t="s">
        <v>141</v>
      </c>
      <c r="C39" s="2" t="s">
        <v>144</v>
      </c>
      <c r="D39" s="3">
        <v>6</v>
      </c>
      <c r="E39" s="4">
        <v>3.21</v>
      </c>
      <c r="F39" s="4">
        <f t="shared" si="1"/>
        <v>19.259999999999998</v>
      </c>
      <c r="G39" s="6"/>
      <c r="H39" s="5" t="s">
        <v>145</v>
      </c>
      <c r="I39" s="5"/>
      <c r="J39" s="2"/>
      <c r="K39" s="2"/>
      <c r="L39" s="2"/>
      <c r="M39" s="2"/>
    </row>
    <row r="40" spans="1:13" ht="15" customHeight="1">
      <c r="A40" s="2" t="s">
        <v>21</v>
      </c>
      <c r="B40" s="2" t="s">
        <v>146</v>
      </c>
      <c r="C40" s="2" t="s">
        <v>147</v>
      </c>
      <c r="D40" s="3">
        <v>1</v>
      </c>
      <c r="E40" s="4">
        <v>16.010000000000002</v>
      </c>
      <c r="F40" s="4">
        <f t="shared" si="1"/>
        <v>16.010000000000002</v>
      </c>
      <c r="G40" s="6"/>
      <c r="H40" s="5" t="s">
        <v>148</v>
      </c>
      <c r="I40" s="5"/>
      <c r="J40" s="2"/>
      <c r="K40" s="2"/>
      <c r="L40" s="2"/>
      <c r="M40" s="2"/>
    </row>
    <row r="41" spans="1:13" ht="15" customHeight="1">
      <c r="A41" s="2" t="s">
        <v>149</v>
      </c>
      <c r="B41" s="2" t="s">
        <v>150</v>
      </c>
      <c r="C41" s="2" t="s">
        <v>151</v>
      </c>
      <c r="D41" s="3">
        <v>3</v>
      </c>
      <c r="E41" s="4">
        <v>7.55</v>
      </c>
      <c r="F41" s="4">
        <f t="shared" si="1"/>
        <v>22.65</v>
      </c>
      <c r="G41" s="6"/>
      <c r="H41" s="5" t="s">
        <v>152</v>
      </c>
      <c r="I41" s="5"/>
      <c r="J41" s="2"/>
      <c r="K41" s="2"/>
      <c r="L41" s="2"/>
      <c r="M41" s="2"/>
    </row>
    <row r="42" spans="1:13" ht="15" customHeight="1">
      <c r="A42" s="2" t="s">
        <v>153</v>
      </c>
      <c r="B42" s="2" t="s">
        <v>154</v>
      </c>
      <c r="C42" s="2" t="s">
        <v>155</v>
      </c>
      <c r="D42" s="3">
        <v>12</v>
      </c>
      <c r="E42" s="4">
        <v>3.55</v>
      </c>
      <c r="F42" s="4">
        <f t="shared" si="1"/>
        <v>42.599999999999994</v>
      </c>
      <c r="G42" s="6"/>
      <c r="H42" s="5" t="s">
        <v>156</v>
      </c>
      <c r="I42" s="5"/>
      <c r="J42" s="2"/>
      <c r="K42" s="2"/>
      <c r="L42" s="2"/>
      <c r="M42" s="2"/>
    </row>
    <row r="43" spans="1:13" ht="15" customHeight="1">
      <c r="A43" s="2" t="s">
        <v>157</v>
      </c>
      <c r="B43" s="2" t="s">
        <v>158</v>
      </c>
      <c r="C43" s="2" t="s">
        <v>159</v>
      </c>
      <c r="D43" s="3">
        <v>1</v>
      </c>
      <c r="E43" s="4">
        <v>50.51</v>
      </c>
      <c r="F43" s="4">
        <f t="shared" si="1"/>
        <v>50.51</v>
      </c>
      <c r="G43" s="6"/>
      <c r="H43" s="5" t="s">
        <v>160</v>
      </c>
      <c r="I43" s="5"/>
      <c r="J43" s="2"/>
      <c r="K43" s="2"/>
      <c r="L43" s="2"/>
      <c r="M43" s="2"/>
    </row>
    <row r="44" spans="1:13" ht="15" customHeight="1">
      <c r="A44" s="2" t="s">
        <v>161</v>
      </c>
      <c r="B44" s="2" t="s">
        <v>162</v>
      </c>
      <c r="C44" s="2" t="s">
        <v>163</v>
      </c>
      <c r="D44" s="3">
        <v>1</v>
      </c>
      <c r="E44" s="4">
        <v>24.17</v>
      </c>
      <c r="F44" s="4">
        <f t="shared" si="1"/>
        <v>24.17</v>
      </c>
      <c r="G44" s="6"/>
      <c r="H44" s="5" t="s">
        <v>164</v>
      </c>
      <c r="I44" s="5"/>
      <c r="J44" s="2"/>
      <c r="K44" s="2"/>
      <c r="L44" s="2"/>
      <c r="M44" s="2"/>
    </row>
    <row r="45" spans="1:13" ht="15" customHeight="1">
      <c r="A45" s="2" t="s">
        <v>165</v>
      </c>
      <c r="B45" s="2" t="s">
        <v>166</v>
      </c>
      <c r="C45" s="2" t="s">
        <v>167</v>
      </c>
      <c r="D45" s="3">
        <v>1</v>
      </c>
      <c r="E45" s="4">
        <v>26.01</v>
      </c>
      <c r="F45" s="4">
        <f t="shared" si="1"/>
        <v>26.01</v>
      </c>
      <c r="G45" s="6"/>
      <c r="H45" s="5" t="s">
        <v>168</v>
      </c>
      <c r="I45" s="5"/>
      <c r="J45" s="2"/>
      <c r="K45" s="2"/>
      <c r="L45" s="2"/>
      <c r="M45" s="2"/>
    </row>
    <row r="46" spans="1:13" ht="15" customHeight="1">
      <c r="A46" s="2" t="s">
        <v>169</v>
      </c>
      <c r="B46" s="2" t="s">
        <v>170</v>
      </c>
      <c r="C46" s="2" t="s">
        <v>171</v>
      </c>
      <c r="D46" s="3">
        <v>1</v>
      </c>
      <c r="E46" s="4">
        <v>16.82</v>
      </c>
      <c r="F46" s="4">
        <f t="shared" si="1"/>
        <v>16.82</v>
      </c>
      <c r="G46" s="6"/>
      <c r="H46" s="5" t="s">
        <v>172</v>
      </c>
      <c r="I46" s="5"/>
      <c r="J46" s="2"/>
      <c r="K46" s="2"/>
      <c r="L46" s="2"/>
      <c r="M46" s="2"/>
    </row>
    <row r="47" spans="1:13" ht="15" customHeight="1">
      <c r="A47" s="2" t="s">
        <v>173</v>
      </c>
      <c r="B47" s="2" t="s">
        <v>174</v>
      </c>
      <c r="C47" s="2" t="s">
        <v>175</v>
      </c>
      <c r="D47" s="3">
        <v>2</v>
      </c>
      <c r="E47" s="4">
        <v>25.17</v>
      </c>
      <c r="F47" s="4">
        <f t="shared" si="1"/>
        <v>50.34</v>
      </c>
      <c r="G47" s="6"/>
      <c r="H47" s="5" t="s">
        <v>176</v>
      </c>
      <c r="I47" s="5"/>
      <c r="J47" s="2"/>
      <c r="K47" s="2"/>
      <c r="L47" s="2"/>
      <c r="M47" s="2"/>
    </row>
    <row r="48" spans="1:13" ht="15" customHeight="1">
      <c r="A48" s="2" t="s">
        <v>173</v>
      </c>
      <c r="B48" s="2" t="s">
        <v>177</v>
      </c>
      <c r="C48" s="2" t="s">
        <v>178</v>
      </c>
      <c r="D48" s="3">
        <v>2</v>
      </c>
      <c r="E48" s="4">
        <v>12.5</v>
      </c>
      <c r="F48" s="4">
        <f t="shared" si="1"/>
        <v>25</v>
      </c>
      <c r="G48" s="6"/>
      <c r="H48" s="5" t="s">
        <v>179</v>
      </c>
      <c r="I48" s="5"/>
      <c r="J48" s="2"/>
      <c r="K48" s="2"/>
      <c r="L48" s="2"/>
      <c r="M48" s="2"/>
    </row>
    <row r="49" spans="1:13" ht="15" customHeight="1">
      <c r="A49" s="2" t="s">
        <v>180</v>
      </c>
      <c r="B49" s="2" t="s">
        <v>181</v>
      </c>
      <c r="C49" s="2" t="s">
        <v>182</v>
      </c>
      <c r="D49" s="3">
        <v>1</v>
      </c>
      <c r="E49" s="4">
        <v>28.56</v>
      </c>
      <c r="F49" s="4">
        <f t="shared" si="1"/>
        <v>28.56</v>
      </c>
      <c r="G49" s="6"/>
      <c r="H49" s="5" t="s">
        <v>183</v>
      </c>
      <c r="I49" s="5"/>
      <c r="J49" s="2"/>
      <c r="K49" s="2"/>
      <c r="L49" s="2"/>
      <c r="M49" s="2"/>
    </row>
    <row r="50" spans="1:13" ht="15" customHeight="1">
      <c r="A50" s="2" t="s">
        <v>184</v>
      </c>
      <c r="B50" s="2" t="s">
        <v>185</v>
      </c>
      <c r="C50" s="2" t="s">
        <v>186</v>
      </c>
      <c r="D50" s="3">
        <v>5</v>
      </c>
      <c r="E50" s="4">
        <v>3.35</v>
      </c>
      <c r="F50" s="4">
        <f t="shared" si="1"/>
        <v>16.75</v>
      </c>
      <c r="G50" s="6"/>
      <c r="H50" s="5" t="s">
        <v>187</v>
      </c>
      <c r="I50" s="5"/>
      <c r="J50" s="2"/>
      <c r="K50" s="2"/>
      <c r="L50" s="2"/>
      <c r="M50" s="2"/>
    </row>
    <row r="51" spans="1:13" ht="15" customHeight="1">
      <c r="A51" s="2" t="s">
        <v>180</v>
      </c>
      <c r="B51" s="2" t="s">
        <v>188</v>
      </c>
      <c r="C51" s="2" t="s">
        <v>189</v>
      </c>
      <c r="D51" s="3">
        <v>1</v>
      </c>
      <c r="E51" s="4">
        <v>14.81</v>
      </c>
      <c r="F51" s="4">
        <f t="shared" si="1"/>
        <v>14.81</v>
      </c>
      <c r="G51" s="6"/>
      <c r="H51" s="5" t="s">
        <v>190</v>
      </c>
      <c r="I51" s="5"/>
      <c r="J51" s="2"/>
      <c r="K51" s="2"/>
      <c r="L51" s="2"/>
      <c r="M51" s="2"/>
    </row>
    <row r="52" spans="1:13" ht="15" customHeight="1">
      <c r="A52" s="2" t="s">
        <v>180</v>
      </c>
      <c r="B52" s="2" t="s">
        <v>188</v>
      </c>
      <c r="C52" s="2" t="s">
        <v>191</v>
      </c>
      <c r="D52" s="3">
        <v>1</v>
      </c>
      <c r="E52" s="4">
        <v>19.989999999999998</v>
      </c>
      <c r="F52" s="4">
        <f t="shared" si="1"/>
        <v>19.989999999999998</v>
      </c>
      <c r="G52" s="6"/>
      <c r="H52" s="5" t="s">
        <v>192</v>
      </c>
      <c r="I52" s="5"/>
      <c r="J52" s="2"/>
      <c r="K52" s="2"/>
      <c r="L52" s="2"/>
      <c r="M52" s="2"/>
    </row>
    <row r="53" spans="1:13" ht="15" customHeight="1">
      <c r="A53" s="2" t="s">
        <v>193</v>
      </c>
      <c r="B53" s="2" t="s">
        <v>194</v>
      </c>
      <c r="C53" s="2" t="s">
        <v>195</v>
      </c>
      <c r="D53" s="3">
        <v>5</v>
      </c>
      <c r="E53" s="4">
        <v>5.36</v>
      </c>
      <c r="F53" s="4">
        <f t="shared" si="1"/>
        <v>26.8</v>
      </c>
      <c r="G53" s="6"/>
      <c r="H53" s="5" t="s">
        <v>196</v>
      </c>
      <c r="I53" s="5"/>
      <c r="J53" s="2"/>
      <c r="K53" s="2"/>
      <c r="L53" s="2"/>
      <c r="M53" s="2"/>
    </row>
    <row r="54" spans="1:13" ht="15" customHeight="1">
      <c r="A54" s="2" t="s">
        <v>197</v>
      </c>
      <c r="B54" s="2" t="s">
        <v>198</v>
      </c>
      <c r="C54" s="2" t="s">
        <v>199</v>
      </c>
      <c r="D54" s="3">
        <v>1</v>
      </c>
      <c r="E54" s="4">
        <v>40.14</v>
      </c>
      <c r="F54" s="4">
        <f t="shared" si="1"/>
        <v>40.14</v>
      </c>
      <c r="G54" s="6"/>
      <c r="H54" s="5" t="s">
        <v>200</v>
      </c>
      <c r="I54" s="5"/>
      <c r="J54" s="2"/>
      <c r="K54" s="2"/>
      <c r="L54" s="2"/>
      <c r="M54" s="2"/>
    </row>
    <row r="55" spans="1:13" ht="15" customHeight="1">
      <c r="A55" s="2" t="s">
        <v>201</v>
      </c>
      <c r="B55" s="2" t="s">
        <v>202</v>
      </c>
      <c r="C55" s="2" t="s">
        <v>203</v>
      </c>
      <c r="D55" s="3">
        <v>1</v>
      </c>
      <c r="E55" s="4">
        <v>300</v>
      </c>
      <c r="F55" s="4">
        <f t="shared" si="1"/>
        <v>300</v>
      </c>
      <c r="G55" s="6"/>
      <c r="H55" s="5" t="s">
        <v>204</v>
      </c>
      <c r="I55" s="5"/>
      <c r="J55" s="2"/>
      <c r="K55" s="2"/>
      <c r="L55" s="2"/>
      <c r="M55" s="2"/>
    </row>
    <row r="56" spans="1:13" ht="15" customHeight="1">
      <c r="A56" s="2" t="s">
        <v>117</v>
      </c>
      <c r="B56" s="2" t="s">
        <v>114</v>
      </c>
      <c r="C56" s="2" t="s">
        <v>205</v>
      </c>
      <c r="D56" s="3">
        <v>6</v>
      </c>
      <c r="E56" s="4">
        <v>11.53</v>
      </c>
      <c r="F56" s="4">
        <f t="shared" si="1"/>
        <v>69.179999999999993</v>
      </c>
      <c r="G56" s="6"/>
      <c r="H56" s="5" t="s">
        <v>206</v>
      </c>
      <c r="I56" s="5"/>
      <c r="J56" s="2"/>
      <c r="K56" s="2"/>
      <c r="L56" s="2"/>
      <c r="M56" s="2"/>
    </row>
    <row r="57" spans="1:13" ht="15" customHeight="1">
      <c r="A57" s="2" t="s">
        <v>193</v>
      </c>
      <c r="B57" s="2" t="s">
        <v>207</v>
      </c>
      <c r="C57" s="2" t="s">
        <v>208</v>
      </c>
      <c r="D57" s="3">
        <v>2</v>
      </c>
      <c r="E57" s="4">
        <v>4.75</v>
      </c>
      <c r="F57" s="4">
        <f t="shared" si="1"/>
        <v>9.5</v>
      </c>
      <c r="G57" s="6"/>
      <c r="H57" s="5" t="s">
        <v>209</v>
      </c>
      <c r="I57" s="5"/>
      <c r="J57" s="2"/>
      <c r="K57" s="2"/>
      <c r="L57" s="2"/>
      <c r="M57" s="2"/>
    </row>
    <row r="58" spans="1:13" ht="15" customHeight="1">
      <c r="A58" s="2" t="s">
        <v>149</v>
      </c>
      <c r="B58" s="2" t="s">
        <v>210</v>
      </c>
      <c r="C58" s="2" t="s">
        <v>211</v>
      </c>
      <c r="D58" s="3">
        <v>1</v>
      </c>
      <c r="E58" s="4">
        <v>5.41</v>
      </c>
      <c r="F58" s="4">
        <f t="shared" si="1"/>
        <v>5.41</v>
      </c>
      <c r="G58" s="6"/>
      <c r="H58" s="5" t="s">
        <v>212</v>
      </c>
      <c r="I58" s="5"/>
      <c r="J58" s="2"/>
      <c r="K58" s="2"/>
      <c r="L58" s="2"/>
      <c r="M58" s="2"/>
    </row>
    <row r="59" spans="1:13" ht="15" customHeight="1">
      <c r="A59" s="2" t="s">
        <v>21</v>
      </c>
      <c r="B59" s="2" t="s">
        <v>213</v>
      </c>
      <c r="C59" s="2" t="s">
        <v>214</v>
      </c>
      <c r="D59" s="3">
        <v>1</v>
      </c>
      <c r="E59" s="4">
        <v>9.0299999999999994</v>
      </c>
      <c r="F59" s="4">
        <f t="shared" si="1"/>
        <v>9.0299999999999994</v>
      </c>
      <c r="G59" s="6"/>
      <c r="H59" s="5" t="s">
        <v>215</v>
      </c>
      <c r="I59" s="5"/>
      <c r="J59" s="2"/>
      <c r="K59" s="2"/>
      <c r="L59" s="2"/>
      <c r="M59" s="2"/>
    </row>
    <row r="60" spans="1:13" ht="15" customHeight="1">
      <c r="A60" s="2" t="s">
        <v>216</v>
      </c>
      <c r="B60" s="2" t="s">
        <v>217</v>
      </c>
      <c r="C60" s="2" t="s">
        <v>218</v>
      </c>
      <c r="D60" s="3">
        <v>1</v>
      </c>
      <c r="E60" s="4">
        <v>16.87</v>
      </c>
      <c r="F60" s="4">
        <f t="shared" si="1"/>
        <v>16.87</v>
      </c>
      <c r="G60" s="6"/>
      <c r="H60" s="5" t="s">
        <v>219</v>
      </c>
      <c r="I60" s="5"/>
      <c r="J60" s="2"/>
      <c r="K60" s="2"/>
      <c r="L60" s="2"/>
      <c r="M60" s="2"/>
    </row>
    <row r="61" spans="1:13" ht="15" customHeight="1">
      <c r="A61" s="2" t="s">
        <v>180</v>
      </c>
      <c r="B61" s="2" t="s">
        <v>220</v>
      </c>
      <c r="C61" s="2" t="s">
        <v>221</v>
      </c>
      <c r="D61" s="3">
        <v>1</v>
      </c>
      <c r="E61" s="4">
        <v>14.02</v>
      </c>
      <c r="F61" s="4">
        <f t="shared" si="1"/>
        <v>14.02</v>
      </c>
      <c r="G61" s="6"/>
      <c r="H61" s="5" t="s">
        <v>222</v>
      </c>
      <c r="I61" s="5"/>
      <c r="J61" s="2"/>
      <c r="K61" s="2"/>
      <c r="L61" s="2"/>
      <c r="M61" s="2"/>
    </row>
    <row r="62" spans="1:13" ht="15" customHeight="1">
      <c r="A62" s="2" t="s">
        <v>223</v>
      </c>
      <c r="B62" s="2" t="s">
        <v>224</v>
      </c>
      <c r="C62" s="2" t="s">
        <v>225</v>
      </c>
      <c r="D62" s="3">
        <v>1</v>
      </c>
      <c r="E62" s="4">
        <v>8.83</v>
      </c>
      <c r="F62" s="4">
        <f t="shared" si="1"/>
        <v>8.83</v>
      </c>
      <c r="G62" s="6"/>
      <c r="H62" s="5" t="s">
        <v>226</v>
      </c>
      <c r="I62" s="5"/>
      <c r="J62" s="2"/>
      <c r="K62" s="2"/>
      <c r="L62" s="2"/>
      <c r="M62" s="2"/>
    </row>
    <row r="63" spans="1:13" ht="15" customHeight="1">
      <c r="A63" s="2" t="s">
        <v>223</v>
      </c>
      <c r="B63" s="2" t="s">
        <v>227</v>
      </c>
      <c r="C63" s="2" t="s">
        <v>228</v>
      </c>
      <c r="D63" s="3">
        <v>1</v>
      </c>
      <c r="E63" s="4">
        <v>7.19</v>
      </c>
      <c r="F63" s="4">
        <f t="shared" si="1"/>
        <v>7.19</v>
      </c>
      <c r="G63" s="6"/>
      <c r="H63" s="5" t="s">
        <v>229</v>
      </c>
      <c r="I63" s="5"/>
      <c r="J63" s="2"/>
      <c r="K63" s="2"/>
      <c r="L63" s="2"/>
      <c r="M63" s="2"/>
    </row>
    <row r="64" spans="1:13" ht="15" customHeight="1">
      <c r="A64" s="2" t="s">
        <v>193</v>
      </c>
      <c r="B64" s="2" t="s">
        <v>230</v>
      </c>
      <c r="C64" s="2" t="s">
        <v>231</v>
      </c>
      <c r="D64" s="3">
        <v>4</v>
      </c>
      <c r="E64" s="4">
        <v>2.76</v>
      </c>
      <c r="F64" s="4">
        <f t="shared" si="1"/>
        <v>11.04</v>
      </c>
      <c r="G64" s="6"/>
      <c r="H64" s="5" t="s">
        <v>232</v>
      </c>
      <c r="I64" s="5"/>
      <c r="J64" s="2"/>
      <c r="K64" s="2"/>
      <c r="L64" s="2"/>
      <c r="M64" s="2"/>
    </row>
    <row r="65" spans="1:13" ht="15" customHeight="1">
      <c r="A65" s="2" t="s">
        <v>173</v>
      </c>
      <c r="B65" s="2" t="s">
        <v>177</v>
      </c>
      <c r="C65" s="2" t="s">
        <v>233</v>
      </c>
      <c r="D65" s="3">
        <v>2</v>
      </c>
      <c r="E65" s="4">
        <v>3.49</v>
      </c>
      <c r="F65" s="4">
        <f t="shared" si="1"/>
        <v>6.98</v>
      </c>
      <c r="G65" s="6"/>
      <c r="H65" s="5" t="s">
        <v>234</v>
      </c>
      <c r="I65" s="5"/>
      <c r="J65" s="2"/>
      <c r="K65" s="2"/>
      <c r="L65" s="2"/>
      <c r="M65" s="2"/>
    </row>
    <row r="66" spans="1:13" ht="15" customHeight="1">
      <c r="A66" s="2" t="s">
        <v>130</v>
      </c>
      <c r="B66" s="2" t="s">
        <v>44</v>
      </c>
      <c r="C66" s="2" t="s">
        <v>235</v>
      </c>
      <c r="D66" s="3">
        <v>1</v>
      </c>
      <c r="E66" s="4">
        <v>42.76</v>
      </c>
      <c r="F66" s="4">
        <f t="shared" ref="F66:F97" si="2">D66*E66</f>
        <v>42.76</v>
      </c>
      <c r="G66" s="6"/>
      <c r="H66" s="5" t="s">
        <v>236</v>
      </c>
      <c r="I66" s="5"/>
      <c r="J66" s="2"/>
      <c r="K66" s="2"/>
      <c r="L66" s="2"/>
      <c r="M66" s="2"/>
    </row>
    <row r="67" spans="1:13" ht="15" customHeight="1">
      <c r="A67" s="2" t="s">
        <v>237</v>
      </c>
      <c r="B67" s="2" t="s">
        <v>238</v>
      </c>
      <c r="C67" s="2" t="s">
        <v>239</v>
      </c>
      <c r="D67" s="3">
        <v>1</v>
      </c>
      <c r="E67" s="4">
        <v>45.81</v>
      </c>
      <c r="F67" s="4">
        <f t="shared" si="2"/>
        <v>45.81</v>
      </c>
      <c r="G67" s="6"/>
      <c r="H67" s="5" t="s">
        <v>240</v>
      </c>
      <c r="I67" s="5"/>
      <c r="J67" s="2"/>
      <c r="K67" s="2"/>
      <c r="L67" s="2"/>
      <c r="M67" s="2"/>
    </row>
    <row r="68" spans="1:13" ht="15" customHeight="1">
      <c r="A68" s="2" t="s">
        <v>173</v>
      </c>
      <c r="B68" s="2" t="s">
        <v>177</v>
      </c>
      <c r="C68" s="2" t="s">
        <v>241</v>
      </c>
      <c r="D68" s="3">
        <v>1</v>
      </c>
      <c r="E68" s="4">
        <v>18.73</v>
      </c>
      <c r="F68" s="4">
        <f t="shared" si="2"/>
        <v>18.73</v>
      </c>
      <c r="G68" s="6"/>
      <c r="H68" s="5" t="s">
        <v>242</v>
      </c>
      <c r="I68" s="5"/>
      <c r="J68" s="2"/>
      <c r="K68" s="2"/>
      <c r="L68" s="2"/>
      <c r="M68" s="2"/>
    </row>
    <row r="69" spans="1:13" ht="15" customHeight="1">
      <c r="A69" s="2" t="s">
        <v>243</v>
      </c>
      <c r="B69" s="2" t="s">
        <v>244</v>
      </c>
      <c r="C69" s="2" t="s">
        <v>245</v>
      </c>
      <c r="D69" s="3">
        <v>1</v>
      </c>
      <c r="E69" s="4">
        <v>4.99</v>
      </c>
      <c r="F69" s="4">
        <f t="shared" si="2"/>
        <v>4.99</v>
      </c>
      <c r="G69" s="6"/>
      <c r="H69" s="5" t="s">
        <v>246</v>
      </c>
      <c r="I69" s="5"/>
      <c r="J69" s="2"/>
      <c r="K69" s="2"/>
      <c r="L69" s="2"/>
      <c r="M69" s="2"/>
    </row>
    <row r="70" spans="1:13" ht="15" customHeight="1">
      <c r="A70" s="2" t="s">
        <v>243</v>
      </c>
      <c r="B70" s="2" t="s">
        <v>244</v>
      </c>
      <c r="C70" s="2" t="s">
        <v>247</v>
      </c>
      <c r="D70" s="3">
        <v>1</v>
      </c>
      <c r="E70" s="4">
        <v>4.68</v>
      </c>
      <c r="F70" s="4">
        <f t="shared" si="2"/>
        <v>4.68</v>
      </c>
      <c r="G70" s="6"/>
      <c r="H70" s="5" t="s">
        <v>248</v>
      </c>
      <c r="I70" s="5"/>
      <c r="J70" s="2"/>
      <c r="K70" s="2"/>
      <c r="L70" s="2"/>
      <c r="M70" s="2"/>
    </row>
    <row r="71" spans="1:13" ht="15" customHeight="1">
      <c r="A71" s="2" t="s">
        <v>249</v>
      </c>
      <c r="B71" s="2" t="s">
        <v>250</v>
      </c>
      <c r="C71" s="2" t="s">
        <v>251</v>
      </c>
      <c r="D71" s="3">
        <v>1</v>
      </c>
      <c r="E71" s="4">
        <v>39.72</v>
      </c>
      <c r="F71" s="4">
        <f t="shared" si="2"/>
        <v>39.72</v>
      </c>
      <c r="G71" s="6"/>
      <c r="H71" s="5" t="s">
        <v>252</v>
      </c>
      <c r="I71" s="5"/>
      <c r="J71" s="2"/>
      <c r="K71" s="2"/>
      <c r="L71" s="2"/>
      <c r="M71" s="2"/>
    </row>
    <row r="72" spans="1:13" ht="15" customHeight="1">
      <c r="A72" s="2" t="s">
        <v>180</v>
      </c>
      <c r="B72" s="2" t="s">
        <v>253</v>
      </c>
      <c r="C72" s="2" t="s">
        <v>254</v>
      </c>
      <c r="D72" s="3">
        <v>1</v>
      </c>
      <c r="E72" s="4">
        <v>15.07</v>
      </c>
      <c r="F72" s="4">
        <f t="shared" si="2"/>
        <v>15.07</v>
      </c>
      <c r="G72" s="6"/>
      <c r="H72" s="5" t="s">
        <v>255</v>
      </c>
      <c r="I72" s="5"/>
      <c r="J72" s="2"/>
      <c r="K72" s="2"/>
      <c r="L72" s="2"/>
      <c r="M72" s="2"/>
    </row>
    <row r="73" spans="1:13" ht="15" customHeight="1">
      <c r="A73" s="2" t="s">
        <v>256</v>
      </c>
      <c r="B73" s="2" t="s">
        <v>257</v>
      </c>
      <c r="C73" s="2" t="s">
        <v>258</v>
      </c>
      <c r="D73" s="3">
        <v>1</v>
      </c>
      <c r="E73" s="4">
        <v>45.58</v>
      </c>
      <c r="F73" s="4">
        <f t="shared" si="2"/>
        <v>45.58</v>
      </c>
      <c r="G73" s="6"/>
      <c r="H73" s="5" t="s">
        <v>259</v>
      </c>
      <c r="I73" s="5"/>
      <c r="J73" s="2"/>
      <c r="K73" s="2"/>
      <c r="L73" s="2"/>
      <c r="M73" s="2"/>
    </row>
    <row r="74" spans="1:13" ht="15" customHeight="1">
      <c r="A74" s="2" t="s">
        <v>260</v>
      </c>
      <c r="B74" s="2" t="s">
        <v>261</v>
      </c>
      <c r="C74" s="2" t="s">
        <v>262</v>
      </c>
      <c r="D74" s="3">
        <v>1</v>
      </c>
      <c r="E74" s="4">
        <v>6.43</v>
      </c>
      <c r="F74" s="4">
        <f t="shared" si="2"/>
        <v>6.43</v>
      </c>
      <c r="G74" s="6"/>
      <c r="H74" s="5" t="s">
        <v>263</v>
      </c>
      <c r="I74" s="5"/>
      <c r="J74" s="2"/>
      <c r="K74" s="2"/>
      <c r="L74" s="2"/>
      <c r="M74" s="2"/>
    </row>
    <row r="75" spans="1:13" ht="15" customHeight="1">
      <c r="A75" s="2" t="s">
        <v>17</v>
      </c>
      <c r="B75" s="2" t="s">
        <v>264</v>
      </c>
      <c r="C75" s="2" t="s">
        <v>265</v>
      </c>
      <c r="D75" s="3">
        <v>1</v>
      </c>
      <c r="E75" s="4">
        <v>26.5</v>
      </c>
      <c r="F75" s="4">
        <f t="shared" si="2"/>
        <v>26.5</v>
      </c>
      <c r="G75" s="6"/>
      <c r="H75" s="5" t="s">
        <v>266</v>
      </c>
      <c r="I75" s="5"/>
      <c r="J75" s="2"/>
      <c r="K75" s="2"/>
      <c r="L75" s="2"/>
      <c r="M75" s="2"/>
    </row>
    <row r="76" spans="1:13" ht="15" customHeight="1">
      <c r="A76" s="2" t="s">
        <v>267</v>
      </c>
      <c r="B76" s="2" t="s">
        <v>268</v>
      </c>
      <c r="C76" s="2" t="s">
        <v>269</v>
      </c>
      <c r="D76" s="3">
        <v>2</v>
      </c>
      <c r="E76" s="4">
        <v>12.8</v>
      </c>
      <c r="F76" s="4">
        <f t="shared" si="2"/>
        <v>25.6</v>
      </c>
      <c r="G76" s="6"/>
      <c r="H76" s="5" t="s">
        <v>270</v>
      </c>
      <c r="I76" s="5"/>
      <c r="J76" s="2"/>
      <c r="K76" s="2"/>
      <c r="L76" s="2"/>
      <c r="M76" s="2"/>
    </row>
    <row r="77" spans="1:13" ht="15" customHeight="1">
      <c r="A77" s="2" t="s">
        <v>180</v>
      </c>
      <c r="B77" s="2" t="s">
        <v>271</v>
      </c>
      <c r="C77" s="2" t="s">
        <v>272</v>
      </c>
      <c r="D77" s="3">
        <v>1</v>
      </c>
      <c r="E77" s="4">
        <v>14.16</v>
      </c>
      <c r="F77" s="4">
        <f t="shared" si="2"/>
        <v>14.16</v>
      </c>
      <c r="G77" s="6"/>
      <c r="H77" s="5" t="s">
        <v>273</v>
      </c>
      <c r="I77" s="5"/>
      <c r="J77" s="2"/>
      <c r="K77" s="2"/>
      <c r="L77" s="2"/>
      <c r="M77" s="2"/>
    </row>
    <row r="78" spans="1:13" ht="15" customHeight="1">
      <c r="A78" s="2" t="s">
        <v>149</v>
      </c>
      <c r="B78" s="2" t="s">
        <v>274</v>
      </c>
      <c r="C78" s="2" t="s">
        <v>275</v>
      </c>
      <c r="D78" s="3">
        <v>5</v>
      </c>
      <c r="E78" s="4">
        <v>6.98</v>
      </c>
      <c r="F78" s="4">
        <f t="shared" si="2"/>
        <v>34.900000000000006</v>
      </c>
      <c r="G78" s="6"/>
      <c r="H78" s="5" t="s">
        <v>276</v>
      </c>
      <c r="I78" s="5"/>
      <c r="J78" s="2"/>
      <c r="K78" s="2"/>
      <c r="L78" s="2"/>
      <c r="M78" s="2"/>
    </row>
    <row r="79" spans="1:13" ht="15" customHeight="1">
      <c r="A79" s="2" t="s">
        <v>277</v>
      </c>
      <c r="B79" s="2" t="s">
        <v>278</v>
      </c>
      <c r="C79" s="2" t="s">
        <v>279</v>
      </c>
      <c r="D79" s="3">
        <v>1</v>
      </c>
      <c r="E79" s="4">
        <v>3.76</v>
      </c>
      <c r="F79" s="4">
        <f t="shared" si="2"/>
        <v>3.76</v>
      </c>
      <c r="G79" s="6"/>
      <c r="H79" s="5" t="s">
        <v>280</v>
      </c>
      <c r="I79" s="5"/>
      <c r="J79" s="2"/>
      <c r="K79" s="2"/>
      <c r="L79" s="2"/>
      <c r="M79" s="2"/>
    </row>
    <row r="80" spans="1:13" ht="15" customHeight="1">
      <c r="A80" s="2" t="s">
        <v>281</v>
      </c>
      <c r="B80" s="2" t="s">
        <v>278</v>
      </c>
      <c r="C80" s="2" t="s">
        <v>282</v>
      </c>
      <c r="D80" s="3">
        <v>1</v>
      </c>
      <c r="E80" s="4">
        <v>4.72</v>
      </c>
      <c r="F80" s="4">
        <f t="shared" si="2"/>
        <v>4.72</v>
      </c>
      <c r="G80" s="6"/>
      <c r="H80" s="5" t="s">
        <v>283</v>
      </c>
      <c r="I80" s="5"/>
      <c r="J80" s="2"/>
      <c r="K80" s="2"/>
      <c r="L80" s="2"/>
      <c r="M80" s="2"/>
    </row>
    <row r="81" spans="1:13" ht="15" customHeight="1">
      <c r="A81" s="2" t="s">
        <v>284</v>
      </c>
      <c r="B81" s="2" t="s">
        <v>285</v>
      </c>
      <c r="C81" s="2" t="s">
        <v>286</v>
      </c>
      <c r="D81" s="3">
        <v>2</v>
      </c>
      <c r="E81" s="4">
        <v>61.04</v>
      </c>
      <c r="F81" s="4">
        <f t="shared" si="2"/>
        <v>122.08</v>
      </c>
      <c r="G81" s="6"/>
      <c r="H81" s="5" t="s">
        <v>287</v>
      </c>
      <c r="I81" s="5"/>
      <c r="J81" s="2"/>
      <c r="K81" s="2"/>
      <c r="L81" s="2"/>
      <c r="M81" s="2"/>
    </row>
    <row r="82" spans="1:13" ht="15" customHeight="1">
      <c r="A82" s="2" t="s">
        <v>288</v>
      </c>
      <c r="B82" s="2" t="s">
        <v>289</v>
      </c>
      <c r="C82" s="2" t="s">
        <v>290</v>
      </c>
      <c r="D82" s="3">
        <v>1</v>
      </c>
      <c r="E82" s="4">
        <v>382.26</v>
      </c>
      <c r="F82" s="4">
        <f t="shared" si="2"/>
        <v>382.26</v>
      </c>
      <c r="G82" s="6"/>
      <c r="H82" s="5" t="s">
        <v>291</v>
      </c>
      <c r="I82" s="5"/>
      <c r="J82" s="2"/>
      <c r="K82" s="2"/>
      <c r="L82" s="2"/>
      <c r="M82" s="2"/>
    </row>
    <row r="83" spans="1:13" ht="15" customHeight="1">
      <c r="A83" s="2" t="s">
        <v>292</v>
      </c>
      <c r="B83" s="2" t="s">
        <v>293</v>
      </c>
      <c r="C83" s="2" t="s">
        <v>294</v>
      </c>
      <c r="D83" s="3">
        <v>2</v>
      </c>
      <c r="E83" s="4">
        <v>47.78</v>
      </c>
      <c r="F83" s="4">
        <f t="shared" si="2"/>
        <v>95.56</v>
      </c>
      <c r="G83" s="6"/>
      <c r="H83" s="5" t="s">
        <v>295</v>
      </c>
      <c r="I83" s="5"/>
      <c r="J83" s="2"/>
      <c r="K83" s="2"/>
      <c r="L83" s="2"/>
      <c r="M83" s="2"/>
    </row>
    <row r="84" spans="1:13" ht="15" customHeight="1">
      <c r="A84" s="2" t="s">
        <v>296</v>
      </c>
      <c r="B84" s="2" t="s">
        <v>297</v>
      </c>
      <c r="C84" s="2" t="s">
        <v>298</v>
      </c>
      <c r="D84" s="3">
        <v>5</v>
      </c>
      <c r="E84" s="4">
        <v>9.99</v>
      </c>
      <c r="F84" s="4">
        <f t="shared" si="2"/>
        <v>49.95</v>
      </c>
      <c r="G84" s="6"/>
      <c r="H84" s="5" t="s">
        <v>299</v>
      </c>
      <c r="I84" s="5"/>
      <c r="J84" s="2"/>
      <c r="K84" s="2"/>
      <c r="L84" s="2"/>
      <c r="M84" s="2"/>
    </row>
    <row r="85" spans="1:13" ht="15" customHeight="1">
      <c r="A85" s="2" t="s">
        <v>117</v>
      </c>
      <c r="B85" s="2" t="s">
        <v>300</v>
      </c>
      <c r="C85" s="2" t="s">
        <v>301</v>
      </c>
      <c r="D85" s="3">
        <v>1</v>
      </c>
      <c r="E85" s="4">
        <v>6.02</v>
      </c>
      <c r="F85" s="4">
        <f t="shared" si="2"/>
        <v>6.02</v>
      </c>
      <c r="G85" s="6"/>
      <c r="H85" s="5" t="s">
        <v>302</v>
      </c>
      <c r="I85" s="5"/>
      <c r="J85" s="2"/>
      <c r="K85" s="2"/>
      <c r="L85" s="2"/>
      <c r="M85" s="2"/>
    </row>
    <row r="86" spans="1:13" ht="15" customHeight="1">
      <c r="A86" s="2" t="s">
        <v>292</v>
      </c>
      <c r="B86" s="2" t="s">
        <v>303</v>
      </c>
      <c r="C86" s="2" t="s">
        <v>304</v>
      </c>
      <c r="D86" s="3">
        <v>1</v>
      </c>
      <c r="E86" s="4">
        <v>2.3199999999999998</v>
      </c>
      <c r="F86" s="4">
        <f t="shared" si="2"/>
        <v>2.3199999999999998</v>
      </c>
      <c r="G86" s="6"/>
      <c r="H86" s="5" t="s">
        <v>305</v>
      </c>
      <c r="I86" s="5"/>
      <c r="J86" s="2"/>
      <c r="K86" s="2"/>
      <c r="L86" s="2"/>
      <c r="M86" s="2"/>
    </row>
    <row r="87" spans="1:13" ht="15" customHeight="1">
      <c r="A87" s="2" t="s">
        <v>306</v>
      </c>
      <c r="B87" s="2" t="s">
        <v>307</v>
      </c>
      <c r="C87" s="2"/>
      <c r="D87" s="3">
        <v>4</v>
      </c>
      <c r="E87" s="4">
        <v>11.99</v>
      </c>
      <c r="F87" s="4">
        <f t="shared" si="2"/>
        <v>47.96</v>
      </c>
      <c r="G87" s="6"/>
      <c r="H87" s="5" t="s">
        <v>308</v>
      </c>
      <c r="I87" s="5"/>
      <c r="J87" s="2"/>
      <c r="K87" s="2"/>
      <c r="L87" s="2"/>
      <c r="M87" s="2"/>
    </row>
    <row r="88" spans="1:13" ht="15" customHeight="1">
      <c r="A88" s="2" t="s">
        <v>292</v>
      </c>
      <c r="B88" s="2" t="s">
        <v>309</v>
      </c>
      <c r="C88" s="2" t="s">
        <v>310</v>
      </c>
      <c r="D88" s="3">
        <v>1</v>
      </c>
      <c r="E88" s="4">
        <v>9.99</v>
      </c>
      <c r="F88" s="4">
        <f t="shared" si="2"/>
        <v>9.99</v>
      </c>
      <c r="G88" s="6"/>
      <c r="H88" s="5" t="s">
        <v>311</v>
      </c>
      <c r="I88" s="5"/>
      <c r="J88" s="2"/>
      <c r="K88" s="2"/>
      <c r="L88" s="2"/>
      <c r="M88" s="2"/>
    </row>
    <row r="89" spans="1:13" ht="15" customHeight="1">
      <c r="A89" s="2" t="s">
        <v>312</v>
      </c>
      <c r="B89" s="2" t="s">
        <v>313</v>
      </c>
      <c r="C89" s="2" t="s">
        <v>314</v>
      </c>
      <c r="D89" s="3">
        <v>2</v>
      </c>
      <c r="E89" s="4">
        <v>14.63</v>
      </c>
      <c r="F89" s="4">
        <f t="shared" si="2"/>
        <v>29.26</v>
      </c>
      <c r="G89" s="6"/>
      <c r="H89" s="5" t="s">
        <v>315</v>
      </c>
      <c r="I89" s="5"/>
      <c r="J89" s="2"/>
      <c r="K89" s="2"/>
      <c r="L89" s="2"/>
      <c r="M89" s="2"/>
    </row>
    <row r="90" spans="1:13" ht="15" customHeight="1">
      <c r="A90" s="2" t="s">
        <v>316</v>
      </c>
      <c r="B90" s="2" t="s">
        <v>317</v>
      </c>
      <c r="C90" s="2" t="s">
        <v>318</v>
      </c>
      <c r="D90" s="3">
        <v>6</v>
      </c>
      <c r="E90" s="4">
        <v>167.42</v>
      </c>
      <c r="F90" s="4">
        <f t="shared" si="2"/>
        <v>1004.52</v>
      </c>
      <c r="G90" s="6"/>
      <c r="H90" s="5" t="s">
        <v>319</v>
      </c>
      <c r="I90" s="5"/>
      <c r="J90" s="2"/>
      <c r="K90" s="2"/>
      <c r="L90" s="2"/>
      <c r="M90" s="2"/>
    </row>
    <row r="91" spans="1:13" ht="15" customHeight="1">
      <c r="A91" s="2" t="s">
        <v>180</v>
      </c>
      <c r="B91" s="2" t="s">
        <v>320</v>
      </c>
      <c r="C91" s="2" t="s">
        <v>321</v>
      </c>
      <c r="D91" s="3">
        <v>1</v>
      </c>
      <c r="E91" s="4">
        <v>12.61</v>
      </c>
      <c r="F91" s="4">
        <f t="shared" si="2"/>
        <v>12.61</v>
      </c>
      <c r="G91" s="6"/>
      <c r="H91" s="5" t="s">
        <v>322</v>
      </c>
      <c r="I91" s="5"/>
      <c r="J91" s="2"/>
      <c r="K91" s="2"/>
      <c r="L91" s="2"/>
      <c r="M91" s="2"/>
    </row>
    <row r="92" spans="1:13" ht="15" customHeight="1">
      <c r="A92" s="2" t="s">
        <v>323</v>
      </c>
      <c r="B92" s="2" t="s">
        <v>323</v>
      </c>
      <c r="C92" s="2" t="s">
        <v>324</v>
      </c>
      <c r="D92" s="3">
        <v>2</v>
      </c>
      <c r="E92" s="4">
        <v>10.45</v>
      </c>
      <c r="F92" s="4">
        <f t="shared" si="2"/>
        <v>20.9</v>
      </c>
      <c r="G92" s="6" t="s">
        <v>52</v>
      </c>
      <c r="H92" s="5"/>
      <c r="I92" s="5"/>
      <c r="J92" s="2"/>
      <c r="K92" s="2"/>
      <c r="L92" s="2"/>
      <c r="M92" s="2"/>
    </row>
    <row r="93" spans="1:13" ht="15" customHeight="1">
      <c r="A93" s="2" t="s">
        <v>323</v>
      </c>
      <c r="B93" s="2" t="s">
        <v>323</v>
      </c>
      <c r="C93" s="2" t="s">
        <v>325</v>
      </c>
      <c r="D93" s="3">
        <v>3</v>
      </c>
      <c r="E93" s="4">
        <v>2.1800000000000002</v>
      </c>
      <c r="F93" s="4">
        <f t="shared" si="2"/>
        <v>6.5400000000000009</v>
      </c>
      <c r="G93" s="6" t="s">
        <v>52</v>
      </c>
      <c r="H93" s="5"/>
      <c r="I93" s="5"/>
      <c r="J93" s="2"/>
      <c r="K93" s="2"/>
      <c r="L93" s="2"/>
      <c r="M93" s="2"/>
    </row>
    <row r="94" spans="1:13" ht="15" customHeight="1">
      <c r="A94" s="2" t="s">
        <v>326</v>
      </c>
      <c r="B94" s="2" t="s">
        <v>327</v>
      </c>
      <c r="C94" s="2" t="s">
        <v>328</v>
      </c>
      <c r="D94" s="3">
        <v>6</v>
      </c>
      <c r="E94" s="4">
        <v>40</v>
      </c>
      <c r="F94" s="4">
        <f t="shared" si="2"/>
        <v>240</v>
      </c>
      <c r="G94" s="6"/>
      <c r="H94" s="5" t="s">
        <v>329</v>
      </c>
      <c r="I94" s="5" t="s">
        <v>308</v>
      </c>
      <c r="J94" s="2"/>
      <c r="K94" s="2"/>
      <c r="L94" s="2"/>
      <c r="M94" s="2"/>
    </row>
    <row r="95" spans="1:13" ht="21.95" customHeight="1">
      <c r="A95" s="2"/>
      <c r="B95" s="2"/>
      <c r="C95" s="2"/>
      <c r="D95" s="2"/>
      <c r="E95" s="7" t="s">
        <v>330</v>
      </c>
      <c r="F95" s="7">
        <f>SUM(F2:F94)</f>
        <v>8916.5000000000036</v>
      </c>
      <c r="G95" s="2"/>
      <c r="H95" s="2"/>
      <c r="I95" s="2"/>
      <c r="J95" s="2"/>
      <c r="K95" s="2"/>
      <c r="L95" s="2"/>
      <c r="M95" s="2"/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3" r:id="rId11" xr:uid="{00000000-0004-0000-0000-00000A000000}"/>
    <hyperlink ref="H14" r:id="rId12" xr:uid="{00000000-0004-0000-0000-00000B000000}"/>
    <hyperlink ref="H15" r:id="rId13" xr:uid="{00000000-0004-0000-0000-00000C000000}"/>
    <hyperlink ref="H16" r:id="rId14" xr:uid="{00000000-0004-0000-0000-00000D000000}"/>
    <hyperlink ref="H17" r:id="rId15" xr:uid="{00000000-0004-0000-0000-00000E000000}"/>
    <hyperlink ref="H19" r:id="rId16" xr:uid="{00000000-0004-0000-0000-00000F000000}"/>
    <hyperlink ref="H20" r:id="rId17" xr:uid="{00000000-0004-0000-0000-000010000000}"/>
    <hyperlink ref="H21" r:id="rId18" xr:uid="{00000000-0004-0000-0000-000011000000}"/>
    <hyperlink ref="H22" r:id="rId19" xr:uid="{00000000-0004-0000-0000-000012000000}"/>
    <hyperlink ref="H23" r:id="rId20" xr:uid="{00000000-0004-0000-0000-000013000000}"/>
    <hyperlink ref="H24" r:id="rId21" xr:uid="{00000000-0004-0000-0000-000014000000}"/>
    <hyperlink ref="H25" r:id="rId22" xr:uid="{00000000-0004-0000-0000-000015000000}"/>
    <hyperlink ref="H26" r:id="rId23" xr:uid="{00000000-0004-0000-0000-000016000000}"/>
    <hyperlink ref="H27" r:id="rId24" xr:uid="{00000000-0004-0000-0000-000017000000}"/>
    <hyperlink ref="H28" r:id="rId25" xr:uid="{00000000-0004-0000-0000-000018000000}"/>
    <hyperlink ref="H29" r:id="rId26" xr:uid="{00000000-0004-0000-0000-000019000000}"/>
    <hyperlink ref="H30" r:id="rId27" xr:uid="{00000000-0004-0000-0000-00001A000000}"/>
    <hyperlink ref="H31" r:id="rId28" xr:uid="{00000000-0004-0000-0000-00001B000000}"/>
    <hyperlink ref="H32" r:id="rId29" xr:uid="{00000000-0004-0000-0000-00001C000000}"/>
    <hyperlink ref="H33" r:id="rId30" xr:uid="{00000000-0004-0000-0000-00001D000000}"/>
    <hyperlink ref="H34" r:id="rId31" xr:uid="{00000000-0004-0000-0000-00001E000000}"/>
    <hyperlink ref="H35" r:id="rId32" xr:uid="{00000000-0004-0000-0000-00001F000000}"/>
    <hyperlink ref="H36" r:id="rId33" xr:uid="{00000000-0004-0000-0000-000020000000}"/>
    <hyperlink ref="H37" r:id="rId34" xr:uid="{00000000-0004-0000-0000-000021000000}"/>
    <hyperlink ref="H38" r:id="rId35" xr:uid="{00000000-0004-0000-0000-000022000000}"/>
    <hyperlink ref="H39" r:id="rId36" xr:uid="{00000000-0004-0000-0000-000023000000}"/>
    <hyperlink ref="H40" r:id="rId37" xr:uid="{00000000-0004-0000-0000-000024000000}"/>
    <hyperlink ref="H41" r:id="rId38" xr:uid="{00000000-0004-0000-0000-000025000000}"/>
    <hyperlink ref="H42" r:id="rId39" xr:uid="{00000000-0004-0000-0000-000026000000}"/>
    <hyperlink ref="H43" r:id="rId40" xr:uid="{00000000-0004-0000-0000-000027000000}"/>
    <hyperlink ref="H44" r:id="rId41" xr:uid="{00000000-0004-0000-0000-000028000000}"/>
    <hyperlink ref="H45" r:id="rId42" xr:uid="{00000000-0004-0000-0000-000029000000}"/>
    <hyperlink ref="H46" r:id="rId43" xr:uid="{00000000-0004-0000-0000-00002A000000}"/>
    <hyperlink ref="H47" r:id="rId44" xr:uid="{00000000-0004-0000-0000-00002B000000}"/>
    <hyperlink ref="H48" r:id="rId45" xr:uid="{00000000-0004-0000-0000-00002C000000}"/>
    <hyperlink ref="H49" r:id="rId46" xr:uid="{00000000-0004-0000-0000-00002D000000}"/>
    <hyperlink ref="H50" r:id="rId47" xr:uid="{00000000-0004-0000-0000-00002E000000}"/>
    <hyperlink ref="H51" r:id="rId48" xr:uid="{00000000-0004-0000-0000-00002F000000}"/>
    <hyperlink ref="H52" r:id="rId49" xr:uid="{00000000-0004-0000-0000-000030000000}"/>
    <hyperlink ref="H53" r:id="rId50" xr:uid="{00000000-0004-0000-0000-000031000000}"/>
    <hyperlink ref="H54" r:id="rId51" xr:uid="{00000000-0004-0000-0000-000032000000}"/>
    <hyperlink ref="H55" r:id="rId52" xr:uid="{00000000-0004-0000-0000-000033000000}"/>
    <hyperlink ref="H56" r:id="rId53" xr:uid="{00000000-0004-0000-0000-000034000000}"/>
    <hyperlink ref="H57" r:id="rId54" xr:uid="{00000000-0004-0000-0000-000035000000}"/>
    <hyperlink ref="H58" r:id="rId55" xr:uid="{00000000-0004-0000-0000-000036000000}"/>
    <hyperlink ref="H59" r:id="rId56" xr:uid="{00000000-0004-0000-0000-000037000000}"/>
    <hyperlink ref="H60" r:id="rId57" xr:uid="{00000000-0004-0000-0000-000038000000}"/>
    <hyperlink ref="H61" r:id="rId58" xr:uid="{00000000-0004-0000-0000-000039000000}"/>
    <hyperlink ref="H62" r:id="rId59" xr:uid="{00000000-0004-0000-0000-00003A000000}"/>
    <hyperlink ref="H63" r:id="rId60" xr:uid="{00000000-0004-0000-0000-00003B000000}"/>
    <hyperlink ref="H64" r:id="rId61" xr:uid="{00000000-0004-0000-0000-00003C000000}"/>
    <hyperlink ref="H65" r:id="rId62" xr:uid="{00000000-0004-0000-0000-00003D000000}"/>
    <hyperlink ref="H66" r:id="rId63" xr:uid="{00000000-0004-0000-0000-00003E000000}"/>
    <hyperlink ref="H67" r:id="rId64" xr:uid="{00000000-0004-0000-0000-00003F000000}"/>
    <hyperlink ref="H68" r:id="rId65" xr:uid="{00000000-0004-0000-0000-000040000000}"/>
    <hyperlink ref="H69" r:id="rId66" xr:uid="{00000000-0004-0000-0000-000041000000}"/>
    <hyperlink ref="H70" r:id="rId67" xr:uid="{00000000-0004-0000-0000-000042000000}"/>
    <hyperlink ref="H71" r:id="rId68" xr:uid="{00000000-0004-0000-0000-000043000000}"/>
    <hyperlink ref="H72" r:id="rId69" xr:uid="{00000000-0004-0000-0000-000044000000}"/>
    <hyperlink ref="H73" r:id="rId70" xr:uid="{00000000-0004-0000-0000-000045000000}"/>
    <hyperlink ref="H74" r:id="rId71" xr:uid="{00000000-0004-0000-0000-000046000000}"/>
    <hyperlink ref="H75" r:id="rId72" xr:uid="{00000000-0004-0000-0000-000047000000}"/>
    <hyperlink ref="H76" r:id="rId73" xr:uid="{00000000-0004-0000-0000-000048000000}"/>
    <hyperlink ref="H77" r:id="rId74" xr:uid="{00000000-0004-0000-0000-000049000000}"/>
    <hyperlink ref="H78" r:id="rId75" xr:uid="{00000000-0004-0000-0000-00004A000000}"/>
    <hyperlink ref="H79" r:id="rId76" xr:uid="{00000000-0004-0000-0000-00004B000000}"/>
    <hyperlink ref="H80" r:id="rId77" xr:uid="{00000000-0004-0000-0000-00004C000000}"/>
    <hyperlink ref="H81" r:id="rId78" xr:uid="{00000000-0004-0000-0000-00004D000000}"/>
    <hyperlink ref="H82" r:id="rId79" xr:uid="{00000000-0004-0000-0000-00004E000000}"/>
    <hyperlink ref="H83" r:id="rId80" xr:uid="{00000000-0004-0000-0000-00004F000000}"/>
    <hyperlink ref="H84" r:id="rId81" xr:uid="{00000000-0004-0000-0000-000050000000}"/>
    <hyperlink ref="H85" r:id="rId82" xr:uid="{00000000-0004-0000-0000-000051000000}"/>
    <hyperlink ref="H86" r:id="rId83" xr:uid="{00000000-0004-0000-0000-000052000000}"/>
    <hyperlink ref="H87" r:id="rId84" xr:uid="{00000000-0004-0000-0000-000053000000}"/>
    <hyperlink ref="H88" r:id="rId85" xr:uid="{00000000-0004-0000-0000-000054000000}"/>
    <hyperlink ref="H89" r:id="rId86" xr:uid="{00000000-0004-0000-0000-000055000000}"/>
    <hyperlink ref="H90" r:id="rId87" xr:uid="{00000000-0004-0000-0000-000056000000}"/>
    <hyperlink ref="H91" r:id="rId88" xr:uid="{00000000-0004-0000-0000-000057000000}"/>
    <hyperlink ref="H94" r:id="rId89" xr:uid="{00000000-0004-0000-0000-000058000000}"/>
    <hyperlink ref="I94" r:id="rId90" xr:uid="{00000000-0004-0000-0000-00005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Downey, Austin</cp:lastModifiedBy>
  <dcterms:modified xsi:type="dcterms:W3CDTF">2026-07-02T02:19:41Z</dcterms:modified>
</cp:coreProperties>
</file>