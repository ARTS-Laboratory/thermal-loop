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ed1b07ceb518fe/Documents/GitHub/thermal-loop/resources/v0.1.1/design_documents/"/>
    </mc:Choice>
  </mc:AlternateContent>
  <xr:revisionPtr revIDLastSave="0" documentId="14_{88CA5139-EFFB-4687-8983-19782B64CBBB}" xr6:coauthVersionLast="47" xr6:coauthVersionMax="47" xr10:uidLastSave="{00000000-0000-0000-0000-000000000000}"/>
  <bookViews>
    <workbookView xWindow="11424" yWindow="0" windowWidth="11712" windowHeight="1377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4" i="1" l="1"/>
  <c r="F105" i="1"/>
  <c r="F109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<sst xmlns="http://schemas.openxmlformats.org/spreadsheetml/2006/main" count="410" uniqueCount="269">
  <si>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</si>
  <si>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</si>
  <si>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</si>
  <si>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</si>
  <si>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</si>
  <si>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</si>
  <si>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</si>
  <si>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</si>
  <si>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</si>
  <si>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</si>
  <si>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</si>
  <si>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</si>
  <si>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</si>
  <si>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</si>
  <si>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</si>
  <si>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</si>
  <si>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</si>
  <si>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</si>
  <si>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</si>
  <si>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</si>
  <si>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</si>
  <si>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</si>
  <si>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</si>
  <si>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</si>
  <si>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</si>
  <si>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</si>
  <si>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</si>
  <si>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</si>
  <si>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</si>
  <si>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</si>
  <si>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</si>
  <si>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</si>
  <si>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</si>
  <si>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</si>
  <si>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</si>
  <si>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</si>
  <si>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</si>
  <si>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</si>
  <si>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</si>
  <si>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</si>
  <si>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</si>
  <si>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</si>
  <si>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</si>
  <si>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</si>
  <si>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</si>
  <si>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</si>
  <si>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</si>
  <si>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</si>
  <si>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</si>
  <si>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</si>
  <si>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</si>
  <si>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</si>
  <si>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</si>
  <si>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</si>
  <si>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</si>
  <si>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</si>
  <si>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</si>
  <si>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</si>
  <si>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</si>
  <si>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</si>
  <si>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</si>
  <si>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</si>
  <si>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</si>
  <si>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</si>
  <si>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</si>
  <si>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</si>
  <si>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</si>
  <si>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</si>
  <si>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</si>
  <si>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</si>
  <si>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</si>
  <si>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</si>
  <si>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Washers</t>
  </si>
  <si>
    <t>Botls</t>
  </si>
  <si>
    <t>Nuts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</si>
  <si>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</si>
  <si>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</si>
  <si>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</si>
  <si>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</si>
  <si>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</si>
  <si>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</si>
  <si>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</si>
  <si>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</si>
  <si>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</si>
  <si>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</si>
  <si>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</si>
  <si>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</si>
  <si>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</si>
  <si>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</si>
  <si>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</si>
  <si>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</si>
  <si>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</si>
  <si>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</si>
  <si>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</si>
  <si>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</si>
  <si>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</si>
  <si>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</si>
  <si>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</si>
  <si>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</si>
  <si>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</si>
  <si>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</si>
  <si>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</si>
  <si>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</si>
  <si>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</si>
  <si>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</si>
  <si>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</si>
  <si>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</si>
  <si>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</si>
  <si>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</si>
  <si>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</si>
  <si>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</si>
  <si>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</si>
  <si>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</si>
  <si>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</si>
  <si>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</si>
  <si>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</si>
  <si>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</si>
  <si>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</si>
  <si>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</si>
  <si>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</si>
  <si>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</si>
  <si>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</si>
  <si>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</si>
  <si>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</si>
  <si>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</si>
  <si>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</si>
  <si>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</si>
  <si>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</si>
  <si>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</si>
  <si>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</si>
  <si>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</si>
  <si>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</si>
  <si>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</si>
  <si>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</si>
  <si>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</si>
  <si>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</si>
  <si>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</si>
  <si>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</si>
  <si>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</si>
  <si>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</si>
  <si>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</si>
  <si>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</si>
  <si>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</si>
  <si>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</si>
  <si>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</si>
  <si>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</si>
  <si>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</si>
  <si>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</si>
  <si>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</si>
  <si>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</si>
  <si>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</si>
  <si>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</si>
  <si>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</si>
  <si>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</si>
  <si>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</si>
  <si>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</si>
  <si>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</si>
  <si>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22UH10</t>
  </si>
  <si>
    <t>22RY64</t>
  </si>
  <si>
    <t>4FAY9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</si>
  <si>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</si>
  <si>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</si>
  <si>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</si>
  <si>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</si>
  <si>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</si>
  <si>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</si>
  <si>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</si>
  <si>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</si>
  <si>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</si>
  <si>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</si>
  <si>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</si>
  <si>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</si>
  <si>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</si>
  <si>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</si>
  <si>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</si>
  <si>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</si>
  <si>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</si>
  <si>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</si>
  <si>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</si>
  <si>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</si>
  <si>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</si>
  <si>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</si>
  <si>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</si>
  <si>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</si>
  <si>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</si>
  <si>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</si>
  <si>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</si>
  <si>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</si>
  <si>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</si>
  <si>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</si>
  <si>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</si>
  <si>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</si>
  <si>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</si>
  <si>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</si>
  <si>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</si>
  <si>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</si>
  <si>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</si>
  <si>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</si>
  <si>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</si>
  <si>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</si>
  <si>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</si>
  <si>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</si>
  <si>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</si>
  <si>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</si>
  <si>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</si>
  <si>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</si>
  <si>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</si>
  <si>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</si>
  <si>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</si>
  <si>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</si>
  <si>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</si>
  <si>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</si>
  <si>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</si>
  <si>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</si>
  <si>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</si>
  <si>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</si>
  <si>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</si>
  <si>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</si>
  <si>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</si>
  <si>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</si>
  <si>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</si>
  <si>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</si>
  <si>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</si>
  <si>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</si>
  <si>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</si>
  <si>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</si>
  <si>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</si>
  <si>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</si>
  <si>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</si>
  <si>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</si>
  <si>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</si>
  <si>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</si>
  <si>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</si>
  <si>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</si>
  <si>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</si>
  <si>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</si>
  <si>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</si>
  <si>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</si>
  <si>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</si>
  <si>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</si>
  <si>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</si>
  <si>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</si>
  <si>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</si>
  <si>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</si>
  <si>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</si>
  <si>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</si>
  <si>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</si>
  <si>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</si>
  <si>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</si>
  <si>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</si>
  <si>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</si>
  <si>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</si>
  <si>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</si>
  <si>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Case Hardened, Zinc Plated, Flat Washer - 22UH10|U38400.050.0002 - Grainger</t>
  </si>
  <si>
    <t>Steel, Grade 2, Hex Head Cap Screw - 22RY64|U08210.050.0250 - Grainger</t>
  </si>
  <si>
    <t>Std Hex, 1/2"-13 Thread, Hex Nut - 4FAY9|U04120.050.0001 -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</si>
  <si>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</si>
  <si>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</si>
  <si>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</si>
  <si>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</si>
  <si>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</si>
  <si>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Bolts (TO BUY)</t>
  </si>
  <si>
    <t>Nuts (TO BUY)</t>
  </si>
  <si>
    <t>Steel, A307A, Hex Tap Bolt - 41UD24|U01209.050.0250 - Grainger</t>
  </si>
  <si>
    <t>Hex Tap Bolt: Steel, A307A, Zinc Plated, 1/2"-13, Coarse, 2 1/2 in lg, Globally Sourced, Inch, 10 PK</t>
  </si>
  <si>
    <t>41UD24</t>
  </si>
  <si>
    <t>Std Hex, 1/2"-13 Thread, Hex Nut - 2FE69|U08110.050.0001 - Grainger</t>
  </si>
  <si>
    <t>2FE69</t>
  </si>
  <si>
    <t>Hex Nut: Std Hex, 1/2"-13 Thread, 3/4 in Hex Wd, 7/16 in Hex Ht, Steel, Grade 2, Zinc-Plated, 50 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</si>
</sst>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8" fillId="2" borderId="1" xfId="0" applyFont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0" xfId="0" applyAlignment="1">
      <alignment vertical="top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05" totalsRowShown="0" tableBorderDxfId="7">
  <autoFilter ref="A1:K105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Flat-Washer-Case-Hardened-22UH10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Hex-Head-Cap-Screw-Steel-22RY64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grainger.com/product/Hex-Nut-Std-Hex-2FE69" TargetMode="External"/><Relationship Id="rId101" Type="http://schemas.openxmlformats.org/officeDocument/2006/relationships/table" Target="../tables/table1.xm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Nut-Std-Hex-4FAY9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grainger.com/product/Hex-Tap-Bolt-Steel-41UD24" TargetMode="External"/><Relationship Id="rId3" Type="http://schemas.openxmlformats.org/officeDocument/2006/relationships/hyperlink" Target="https://www.mscdirect.com/product/details/67473967?rItem=67473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09"/>
  <sheetViews>
    <sheetView tabSelected="1" topLeftCell="A87" zoomScale="87" zoomScaleNormal="87" workbookViewId="0">
      <selection activeCell="B108" sqref="B108"/>
    </sheetView>
  </sheetViews>
  <sheetFormatPr defaultColWidth="8.88671875" defaultRowHeight="14.4" x14ac:dyDescent="0.3"/>
  <cols>
    <col min="1" max="1" width="20.109375" bestFit="1" customWidth="1"/>
    <col min="2" max="2" width="33.109375" bestFit="1" customWidth="1"/>
    <col min="3" max="3" width="16.44140625" bestFit="1" customWidth="1"/>
    <col min="4" max="4" width="15.88671875" bestFit="1" customWidth="1"/>
    <col min="5" max="5" width="13.5546875" bestFit="1" customWidth="1"/>
    <col min="6" max="6" width="13.44140625" customWidth="1"/>
    <col min="7" max="7" width="13" customWidth="1"/>
    <col min="8" max="8" width="79" bestFit="1" customWidth="1"/>
    <col min="9" max="9" width="45.5546875" bestFit="1" customWidth="1"/>
    <col min="10" max="10" width="83.5546875" customWidth="1"/>
    <col min="11" max="11" width="62.5546875" customWidth="1"/>
    <col min="12" max="12" width="55.88671875" customWidth="1"/>
    <col min="13" max="13" width="51" customWidth="1"/>
  </cols>
  <sheetData>
    <row r="1" spans="1:13" ht="15" customHeight="1" x14ac:dyDescent="0.3">
      <c r="A1" s="8" t="s">
        <v>8</v>
      </c>
      <c r="B1" s="2" t="s">
        <v>9</v>
      </c>
      <c r="C1" s="8" t="s">
        <v>7</v>
      </c>
      <c r="D1" s="8" t="s">
        <v>160</v>
      </c>
      <c r="E1" s="8" t="s">
        <v>1</v>
      </c>
      <c r="F1" s="7" t="s">
        <v>0</v>
      </c>
      <c r="G1" s="5" t="s">
        <v>6</v>
      </c>
      <c r="H1" s="10" t="s">
        <v>2</v>
      </c>
      <c r="I1" s="10" t="s">
        <v>3</v>
      </c>
      <c r="J1" s="10" t="s">
        <v>4</v>
      </c>
      <c r="K1" s="10" t="s">
        <v>5</v>
      </c>
    </row>
    <row r="2" spans="1:13" ht="15" customHeight="1" x14ac:dyDescent="0.3">
      <c r="A2" s="14" t="s">
        <v>10</v>
      </c>
      <c r="B2" s="27" t="s">
        <v>256</v>
      </c>
      <c r="C2" s="14">
        <v>92012988</v>
      </c>
      <c r="D2" s="8">
        <v>1</v>
      </c>
      <c r="E2" s="8">
        <v>25.58</v>
      </c>
      <c r="F2" s="7">
        <f>D2*E2</f>
        <v>25.58</v>
      </c>
      <c r="G2" s="5"/>
      <c r="H2" s="23" t="s">
        <v>161</v>
      </c>
      <c r="J2" s="2"/>
    </row>
    <row r="3" spans="1:13" ht="15" customHeight="1" x14ac:dyDescent="0.3">
      <c r="A3" s="15" t="s">
        <v>11</v>
      </c>
      <c r="B3" s="27" t="s">
        <v>162</v>
      </c>
      <c r="C3" s="15">
        <v>67436964</v>
      </c>
      <c r="D3" s="9">
        <v>10</v>
      </c>
      <c r="E3" s="9">
        <v>1.71</v>
      </c>
      <c r="F3" s="7">
        <f t="shared" ref="F3:F66" si="0">D3*E3</f>
        <v>17.100000000000001</v>
      </c>
      <c r="G3" s="5"/>
      <c r="H3" s="24" t="s">
        <v>162</v>
      </c>
      <c r="I3" s="4"/>
    </row>
    <row r="4" spans="1:13" ht="15" customHeight="1" x14ac:dyDescent="0.3">
      <c r="A4" s="14" t="s">
        <v>12</v>
      </c>
      <c r="B4" s="27" t="s">
        <v>163</v>
      </c>
      <c r="C4" s="16">
        <v>67473967</v>
      </c>
      <c r="D4" s="8">
        <v>10</v>
      </c>
      <c r="E4" s="8">
        <v>0.47</v>
      </c>
      <c r="F4" s="7">
        <f t="shared" si="0"/>
        <v>4.6999999999999993</v>
      </c>
      <c r="G4" s="5"/>
      <c r="H4" s="23" t="s">
        <v>163</v>
      </c>
    </row>
    <row r="5" spans="1:13" ht="15" customHeight="1" x14ac:dyDescent="0.3">
      <c r="A5" s="15" t="s">
        <v>10</v>
      </c>
      <c r="B5" s="27" t="s">
        <v>164</v>
      </c>
      <c r="C5" s="17">
        <v>99176795</v>
      </c>
      <c r="D5" s="9">
        <v>6</v>
      </c>
      <c r="E5" s="9">
        <v>5.45</v>
      </c>
      <c r="F5" s="7">
        <f t="shared" si="0"/>
        <v>32.700000000000003</v>
      </c>
      <c r="G5" s="5"/>
      <c r="H5" s="24" t="s">
        <v>164</v>
      </c>
      <c r="I5" s="1"/>
    </row>
    <row r="6" spans="1:13" ht="15" customHeight="1" x14ac:dyDescent="0.3">
      <c r="A6" s="14" t="s">
        <v>10</v>
      </c>
      <c r="B6" s="27" t="s">
        <v>165</v>
      </c>
      <c r="C6" s="18" t="s">
        <v>75</v>
      </c>
      <c r="D6" s="8">
        <v>3</v>
      </c>
      <c r="E6" s="8">
        <v>25.94</v>
      </c>
      <c r="F6" s="7">
        <f t="shared" si="0"/>
        <v>77.820000000000007</v>
      </c>
      <c r="G6" s="5"/>
      <c r="H6" s="23" t="s">
        <v>165</v>
      </c>
      <c r="I6" s="4"/>
    </row>
    <row r="7" spans="1:13" ht="15" customHeight="1" x14ac:dyDescent="0.3">
      <c r="A7" s="15" t="s">
        <v>13</v>
      </c>
      <c r="B7" s="27" t="s">
        <v>166</v>
      </c>
      <c r="C7" s="19" t="s">
        <v>76</v>
      </c>
      <c r="D7" s="9">
        <v>3</v>
      </c>
      <c r="E7" s="9">
        <v>10.41</v>
      </c>
      <c r="F7" s="7">
        <f t="shared" si="0"/>
        <v>31.23</v>
      </c>
      <c r="G7" s="5"/>
      <c r="H7" s="24" t="s">
        <v>166</v>
      </c>
      <c r="I7" s="4"/>
      <c r="J7" s="3"/>
      <c r="K7" s="3"/>
    </row>
    <row r="8" spans="1:13" ht="15" customHeight="1" x14ac:dyDescent="0.3">
      <c r="A8" s="14" t="s">
        <v>14</v>
      </c>
      <c r="B8" s="27" t="s">
        <v>167</v>
      </c>
      <c r="C8" s="18" t="s">
        <v>77</v>
      </c>
      <c r="D8" s="8">
        <v>1</v>
      </c>
      <c r="E8" s="8">
        <v>93.93</v>
      </c>
      <c r="F8" s="7">
        <f t="shared" si="0"/>
        <v>93.93</v>
      </c>
      <c r="G8" s="5"/>
      <c r="H8" s="23" t="s">
        <v>167</v>
      </c>
      <c r="I8" s="4"/>
    </row>
    <row r="9" spans="1:13" ht="15" customHeight="1" x14ac:dyDescent="0.3">
      <c r="A9" s="15" t="s">
        <v>15</v>
      </c>
      <c r="B9" s="27" t="s">
        <v>168</v>
      </c>
      <c r="C9" s="19" t="s">
        <v>78</v>
      </c>
      <c r="D9" s="9">
        <v>1</v>
      </c>
      <c r="E9" s="9">
        <v>5.99</v>
      </c>
      <c r="F9" s="7">
        <f t="shared" si="0"/>
        <v>5.99</v>
      </c>
      <c r="G9" s="5"/>
      <c r="H9" s="24" t="s">
        <v>168</v>
      </c>
      <c r="L9" s="4"/>
      <c r="M9" s="4"/>
    </row>
    <row r="10" spans="1:13" ht="15" customHeight="1" x14ac:dyDescent="0.3">
      <c r="A10" s="14" t="s">
        <v>16</v>
      </c>
      <c r="B10" s="27" t="s">
        <v>169</v>
      </c>
      <c r="C10" s="18" t="s">
        <v>79</v>
      </c>
      <c r="D10" s="8">
        <v>1</v>
      </c>
      <c r="E10" s="8">
        <v>41.22</v>
      </c>
      <c r="F10" s="7">
        <f t="shared" si="0"/>
        <v>41.22</v>
      </c>
      <c r="G10" s="5"/>
      <c r="H10" s="23" t="s">
        <v>169</v>
      </c>
    </row>
    <row r="11" spans="1:13" ht="15" customHeight="1" x14ac:dyDescent="0.3">
      <c r="A11" s="15" t="s">
        <v>17</v>
      </c>
      <c r="B11" s="27" t="s">
        <v>170</v>
      </c>
      <c r="C11" s="19" t="s">
        <v>80</v>
      </c>
      <c r="D11" s="9">
        <v>1</v>
      </c>
      <c r="E11" s="9">
        <v>60.89</v>
      </c>
      <c r="F11" s="7">
        <f t="shared" si="0"/>
        <v>60.89</v>
      </c>
      <c r="G11" s="5"/>
      <c r="H11" s="24" t="s">
        <v>170</v>
      </c>
      <c r="I11" s="3"/>
    </row>
    <row r="12" spans="1:13" ht="15" customHeight="1" x14ac:dyDescent="0.3">
      <c r="A12" s="14" t="s">
        <v>18</v>
      </c>
      <c r="B12" s="27"/>
      <c r="C12" s="14" t="s">
        <v>81</v>
      </c>
      <c r="D12" s="8">
        <v>1</v>
      </c>
      <c r="E12" s="8">
        <v>27.83</v>
      </c>
      <c r="F12" s="7">
        <f t="shared" si="0"/>
        <v>27.83</v>
      </c>
      <c r="G12" s="5"/>
      <c r="H12" s="25" t="s">
        <v>81</v>
      </c>
      <c r="I12" s="4"/>
    </row>
    <row r="13" spans="1:13" ht="15" customHeight="1" x14ac:dyDescent="0.3">
      <c r="A13" s="15" t="s">
        <v>19</v>
      </c>
      <c r="B13" s="27" t="s">
        <v>171</v>
      </c>
      <c r="C13" s="20">
        <v>316533</v>
      </c>
      <c r="D13" s="9">
        <v>1</v>
      </c>
      <c r="E13" s="9">
        <v>370</v>
      </c>
      <c r="F13" s="7">
        <f t="shared" si="0"/>
        <v>370</v>
      </c>
      <c r="G13" s="5"/>
      <c r="H13" s="24" t="s">
        <v>171</v>
      </c>
      <c r="I13" s="4"/>
    </row>
    <row r="14" spans="1:13" ht="15" customHeight="1" x14ac:dyDescent="0.3">
      <c r="A14" s="14" t="s">
        <v>20</v>
      </c>
      <c r="B14" s="27" t="s">
        <v>172</v>
      </c>
      <c r="C14" s="18">
        <v>316530</v>
      </c>
      <c r="D14" s="8">
        <v>1</v>
      </c>
      <c r="E14" s="8">
        <v>312</v>
      </c>
      <c r="F14" s="7">
        <f t="shared" si="0"/>
        <v>312</v>
      </c>
      <c r="G14" s="5"/>
      <c r="H14" s="23" t="s">
        <v>172</v>
      </c>
      <c r="I14" s="4"/>
    </row>
    <row r="15" spans="1:13" ht="15" customHeight="1" x14ac:dyDescent="0.3">
      <c r="A15" s="15" t="s">
        <v>21</v>
      </c>
      <c r="B15" s="27" t="s">
        <v>173</v>
      </c>
      <c r="C15" s="20">
        <v>314802</v>
      </c>
      <c r="D15" s="9">
        <v>1</v>
      </c>
      <c r="E15" s="9">
        <v>5.9</v>
      </c>
      <c r="F15" s="7">
        <f t="shared" si="0"/>
        <v>5.9</v>
      </c>
      <c r="G15" s="5"/>
      <c r="H15" s="24" t="s">
        <v>173</v>
      </c>
      <c r="I15" s="4"/>
    </row>
    <row r="16" spans="1:13" ht="15" customHeight="1" x14ac:dyDescent="0.3">
      <c r="A16" s="14" t="s">
        <v>22</v>
      </c>
      <c r="B16" s="27" t="s">
        <v>174</v>
      </c>
      <c r="C16" s="21">
        <v>164598</v>
      </c>
      <c r="D16" s="8">
        <v>1</v>
      </c>
      <c r="E16" s="8">
        <v>1610</v>
      </c>
      <c r="F16" s="7">
        <f t="shared" si="0"/>
        <v>1610</v>
      </c>
      <c r="G16" s="5"/>
      <c r="H16" s="23" t="s">
        <v>174</v>
      </c>
      <c r="I16" s="4"/>
    </row>
    <row r="17" spans="1:9" ht="15" customHeight="1" x14ac:dyDescent="0.3">
      <c r="A17" s="15" t="s">
        <v>23</v>
      </c>
      <c r="B17" s="27" t="s">
        <v>175</v>
      </c>
      <c r="C17" s="15" t="s">
        <v>82</v>
      </c>
      <c r="D17" s="9">
        <v>25</v>
      </c>
      <c r="E17" s="9">
        <v>3.97</v>
      </c>
      <c r="F17" s="7">
        <f t="shared" si="0"/>
        <v>99.25</v>
      </c>
      <c r="G17" s="5"/>
      <c r="H17" s="24" t="s">
        <v>175</v>
      </c>
      <c r="I17" s="4"/>
    </row>
    <row r="18" spans="1:9" ht="15" customHeight="1" x14ac:dyDescent="0.3">
      <c r="A18" s="14" t="s">
        <v>24</v>
      </c>
      <c r="B18" s="27"/>
      <c r="C18" s="14" t="s">
        <v>83</v>
      </c>
      <c r="D18" s="8">
        <v>1</v>
      </c>
      <c r="E18" s="8">
        <v>839.97</v>
      </c>
      <c r="F18" s="7">
        <f t="shared" si="0"/>
        <v>839.97</v>
      </c>
      <c r="G18" s="5"/>
      <c r="H18" s="25" t="s">
        <v>81</v>
      </c>
      <c r="I18" s="4"/>
    </row>
    <row r="19" spans="1:9" ht="15" customHeight="1" x14ac:dyDescent="0.3">
      <c r="A19" s="15" t="s">
        <v>25</v>
      </c>
      <c r="B19" s="27" t="s">
        <v>176</v>
      </c>
      <c r="C19" s="15" t="s">
        <v>84</v>
      </c>
      <c r="D19" s="9">
        <v>2</v>
      </c>
      <c r="E19" s="9">
        <v>14.02</v>
      </c>
      <c r="F19" s="7">
        <f t="shared" si="0"/>
        <v>28.04</v>
      </c>
      <c r="G19" s="5"/>
      <c r="H19" s="24" t="s">
        <v>176</v>
      </c>
      <c r="I19" s="4"/>
    </row>
    <row r="20" spans="1:9" ht="15" customHeight="1" x14ac:dyDescent="0.3">
      <c r="A20" s="14" t="s">
        <v>26</v>
      </c>
      <c r="B20" s="27" t="s">
        <v>177</v>
      </c>
      <c r="C20" s="14" t="s">
        <v>85</v>
      </c>
      <c r="D20" s="8">
        <v>1</v>
      </c>
      <c r="E20" s="8">
        <v>33.58</v>
      </c>
      <c r="F20" s="7">
        <f t="shared" si="0"/>
        <v>33.58</v>
      </c>
      <c r="G20" s="5"/>
      <c r="H20" s="23" t="s">
        <v>177</v>
      </c>
      <c r="I20" s="4"/>
    </row>
    <row r="21" spans="1:9" ht="15" customHeight="1" x14ac:dyDescent="0.3">
      <c r="A21" s="15" t="s">
        <v>27</v>
      </c>
      <c r="B21" s="27" t="s">
        <v>178</v>
      </c>
      <c r="C21" s="15" t="s">
        <v>86</v>
      </c>
      <c r="D21" s="9">
        <v>250</v>
      </c>
      <c r="E21" s="9">
        <v>0.12664</v>
      </c>
      <c r="F21" s="7">
        <f t="shared" si="0"/>
        <v>31.66</v>
      </c>
      <c r="G21" s="5"/>
      <c r="H21" s="24" t="s">
        <v>178</v>
      </c>
      <c r="I21" s="4"/>
    </row>
    <row r="22" spans="1:9" ht="15" customHeight="1" x14ac:dyDescent="0.3">
      <c r="A22" s="14" t="s">
        <v>28</v>
      </c>
      <c r="B22" s="27" t="s">
        <v>179</v>
      </c>
      <c r="C22" s="14" t="s">
        <v>87</v>
      </c>
      <c r="D22" s="8">
        <v>1</v>
      </c>
      <c r="E22" s="8">
        <v>59</v>
      </c>
      <c r="F22" s="7">
        <f t="shared" si="0"/>
        <v>59</v>
      </c>
      <c r="G22" s="5"/>
      <c r="H22" s="23" t="s">
        <v>179</v>
      </c>
      <c r="I22" s="4"/>
    </row>
    <row r="23" spans="1:9" ht="15" customHeight="1" x14ac:dyDescent="0.3">
      <c r="A23" s="15" t="s">
        <v>29</v>
      </c>
      <c r="B23" s="27" t="s">
        <v>180</v>
      </c>
      <c r="C23" s="15">
        <v>7568365</v>
      </c>
      <c r="D23" s="9">
        <v>2</v>
      </c>
      <c r="E23" s="9">
        <v>341.13</v>
      </c>
      <c r="F23" s="7">
        <f t="shared" si="0"/>
        <v>682.26</v>
      </c>
      <c r="G23" s="5"/>
      <c r="H23" s="24" t="s">
        <v>180</v>
      </c>
      <c r="I23" s="4"/>
    </row>
    <row r="24" spans="1:9" ht="15" customHeight="1" x14ac:dyDescent="0.3">
      <c r="A24" s="14" t="s">
        <v>30</v>
      </c>
      <c r="B24" s="27" t="s">
        <v>181</v>
      </c>
      <c r="C24" s="14">
        <v>8323512</v>
      </c>
      <c r="D24" s="8">
        <v>2</v>
      </c>
      <c r="E24" s="8">
        <v>108.02</v>
      </c>
      <c r="F24" s="7">
        <f t="shared" si="0"/>
        <v>216.04</v>
      </c>
      <c r="G24" s="5"/>
      <c r="H24" s="23" t="s">
        <v>181</v>
      </c>
      <c r="I24" s="4"/>
    </row>
    <row r="25" spans="1:9" ht="15" customHeight="1" x14ac:dyDescent="0.3">
      <c r="A25" s="15" t="s">
        <v>28</v>
      </c>
      <c r="B25" s="27" t="s">
        <v>179</v>
      </c>
      <c r="C25" s="15" t="s">
        <v>87</v>
      </c>
      <c r="D25" s="9">
        <v>5</v>
      </c>
      <c r="E25" s="9">
        <v>59</v>
      </c>
      <c r="F25" s="7">
        <f t="shared" si="0"/>
        <v>295</v>
      </c>
      <c r="G25" s="2"/>
      <c r="H25" s="24" t="s">
        <v>179</v>
      </c>
      <c r="I25" s="4"/>
    </row>
    <row r="26" spans="1:9" ht="15" customHeight="1" x14ac:dyDescent="0.3">
      <c r="A26" s="14" t="s">
        <v>31</v>
      </c>
      <c r="B26" s="27" t="s">
        <v>182</v>
      </c>
      <c r="C26" s="14" t="s">
        <v>88</v>
      </c>
      <c r="D26" s="8">
        <v>4</v>
      </c>
      <c r="E26" s="8">
        <v>20.99</v>
      </c>
      <c r="F26" s="7">
        <f t="shared" si="0"/>
        <v>83.96</v>
      </c>
      <c r="G26" s="2"/>
      <c r="H26" s="23" t="s">
        <v>182</v>
      </c>
      <c r="I26" s="2"/>
    </row>
    <row r="27" spans="1:9" ht="15" customHeight="1" x14ac:dyDescent="0.3">
      <c r="A27" s="15" t="s">
        <v>17</v>
      </c>
      <c r="B27" s="27" t="s">
        <v>183</v>
      </c>
      <c r="C27" s="19" t="s">
        <v>89</v>
      </c>
      <c r="D27" s="9">
        <v>4</v>
      </c>
      <c r="E27" s="9">
        <v>7.46</v>
      </c>
      <c r="F27" s="7">
        <f t="shared" si="0"/>
        <v>29.84</v>
      </c>
      <c r="G27" s="2"/>
      <c r="H27" s="24" t="s">
        <v>183</v>
      </c>
    </row>
    <row r="28" spans="1:9" ht="15" customHeight="1" x14ac:dyDescent="0.3">
      <c r="A28" s="14" t="s">
        <v>32</v>
      </c>
      <c r="B28" s="27" t="s">
        <v>184</v>
      </c>
      <c r="C28" s="18" t="s">
        <v>90</v>
      </c>
      <c r="D28" s="8">
        <v>4</v>
      </c>
      <c r="E28" s="8">
        <v>13.23</v>
      </c>
      <c r="F28" s="7">
        <f t="shared" si="0"/>
        <v>52.92</v>
      </c>
      <c r="H28" s="23" t="s">
        <v>184</v>
      </c>
    </row>
    <row r="29" spans="1:9" ht="15" customHeight="1" x14ac:dyDescent="0.3">
      <c r="A29" s="15" t="s">
        <v>33</v>
      </c>
      <c r="B29" s="27" t="s">
        <v>185</v>
      </c>
      <c r="C29" s="15" t="s">
        <v>91</v>
      </c>
      <c r="D29" s="9">
        <v>4</v>
      </c>
      <c r="E29" s="9">
        <v>12.78</v>
      </c>
      <c r="F29" s="7">
        <f t="shared" si="0"/>
        <v>51.12</v>
      </c>
      <c r="H29" s="24" t="s">
        <v>185</v>
      </c>
    </row>
    <row r="30" spans="1:9" ht="15" customHeight="1" x14ac:dyDescent="0.3">
      <c r="A30" s="14" t="s">
        <v>34</v>
      </c>
      <c r="B30" s="27" t="s">
        <v>186</v>
      </c>
      <c r="C30" s="18" t="s">
        <v>92</v>
      </c>
      <c r="D30" s="8">
        <v>4</v>
      </c>
      <c r="E30" s="8">
        <v>9.99</v>
      </c>
      <c r="F30" s="7">
        <f t="shared" si="0"/>
        <v>39.96</v>
      </c>
      <c r="H30" s="23" t="s">
        <v>186</v>
      </c>
    </row>
    <row r="31" spans="1:9" x14ac:dyDescent="0.3">
      <c r="A31" s="15" t="s">
        <v>35</v>
      </c>
      <c r="B31" s="27" t="s">
        <v>187</v>
      </c>
      <c r="C31" s="19" t="s">
        <v>93</v>
      </c>
      <c r="D31" s="9">
        <v>4</v>
      </c>
      <c r="E31" s="9">
        <v>22.34</v>
      </c>
      <c r="F31" s="7">
        <f t="shared" si="0"/>
        <v>89.36</v>
      </c>
      <c r="H31" s="24" t="s">
        <v>187</v>
      </c>
    </row>
    <row r="32" spans="1:9" x14ac:dyDescent="0.3">
      <c r="A32" s="14" t="s">
        <v>35</v>
      </c>
      <c r="B32" s="27" t="s">
        <v>188</v>
      </c>
      <c r="C32" s="18" t="s">
        <v>94</v>
      </c>
      <c r="D32" s="8">
        <v>4</v>
      </c>
      <c r="E32" s="8">
        <v>16.89</v>
      </c>
      <c r="F32" s="7">
        <f t="shared" si="0"/>
        <v>67.56</v>
      </c>
      <c r="H32" s="23" t="s">
        <v>188</v>
      </c>
    </row>
    <row r="33" spans="1:8" x14ac:dyDescent="0.3">
      <c r="A33" s="15" t="s">
        <v>36</v>
      </c>
      <c r="B33" s="27" t="s">
        <v>189</v>
      </c>
      <c r="C33" s="19" t="s">
        <v>95</v>
      </c>
      <c r="D33" s="9">
        <v>2</v>
      </c>
      <c r="E33" s="9">
        <v>21.79</v>
      </c>
      <c r="F33" s="7">
        <f t="shared" si="0"/>
        <v>43.58</v>
      </c>
      <c r="H33" s="24" t="s">
        <v>189</v>
      </c>
    </row>
    <row r="34" spans="1:8" x14ac:dyDescent="0.3">
      <c r="A34" s="14" t="s">
        <v>36</v>
      </c>
      <c r="B34" s="27" t="s">
        <v>190</v>
      </c>
      <c r="C34" s="18" t="s">
        <v>96</v>
      </c>
      <c r="D34" s="8">
        <v>2</v>
      </c>
      <c r="E34" s="8">
        <v>19.86</v>
      </c>
      <c r="F34" s="7">
        <f t="shared" si="0"/>
        <v>39.72</v>
      </c>
      <c r="H34" s="23" t="s">
        <v>190</v>
      </c>
    </row>
    <row r="35" spans="1:8" x14ac:dyDescent="0.3">
      <c r="A35" s="15" t="s">
        <v>37</v>
      </c>
      <c r="B35" s="27" t="s">
        <v>191</v>
      </c>
      <c r="C35" s="19" t="s">
        <v>97</v>
      </c>
      <c r="D35" s="9">
        <v>1</v>
      </c>
      <c r="E35" s="9">
        <v>36.979999999999997</v>
      </c>
      <c r="F35" s="7">
        <f t="shared" si="0"/>
        <v>36.979999999999997</v>
      </c>
      <c r="H35" s="24" t="s">
        <v>191</v>
      </c>
    </row>
    <row r="36" spans="1:8" x14ac:dyDescent="0.3">
      <c r="A36" s="14" t="s">
        <v>37</v>
      </c>
      <c r="B36" s="27" t="s">
        <v>192</v>
      </c>
      <c r="C36" s="18" t="s">
        <v>98</v>
      </c>
      <c r="D36" s="8">
        <v>1</v>
      </c>
      <c r="E36" s="8">
        <v>26.2</v>
      </c>
      <c r="F36" s="7">
        <f t="shared" si="0"/>
        <v>26.2</v>
      </c>
      <c r="H36" s="23" t="s">
        <v>192</v>
      </c>
    </row>
    <row r="37" spans="1:8" x14ac:dyDescent="0.3">
      <c r="A37" s="15" t="s">
        <v>35</v>
      </c>
      <c r="B37" s="27" t="s">
        <v>193</v>
      </c>
      <c r="C37" s="19" t="s">
        <v>99</v>
      </c>
      <c r="D37" s="9">
        <v>4</v>
      </c>
      <c r="E37" s="9">
        <v>19.22</v>
      </c>
      <c r="F37" s="7">
        <f t="shared" si="0"/>
        <v>76.88</v>
      </c>
      <c r="H37" s="24" t="s">
        <v>193</v>
      </c>
    </row>
    <row r="38" spans="1:8" x14ac:dyDescent="0.3">
      <c r="A38" s="14" t="s">
        <v>38</v>
      </c>
      <c r="B38" s="27" t="s">
        <v>194</v>
      </c>
      <c r="C38" s="18" t="s">
        <v>100</v>
      </c>
      <c r="D38" s="8">
        <v>6</v>
      </c>
      <c r="E38" s="8">
        <v>2.48</v>
      </c>
      <c r="F38" s="7">
        <f t="shared" si="0"/>
        <v>14.879999999999999</v>
      </c>
      <c r="H38" s="23" t="s">
        <v>194</v>
      </c>
    </row>
    <row r="39" spans="1:8" x14ac:dyDescent="0.3">
      <c r="A39" s="15" t="s">
        <v>38</v>
      </c>
      <c r="B39" s="27" t="s">
        <v>195</v>
      </c>
      <c r="C39" s="19" t="s">
        <v>101</v>
      </c>
      <c r="D39" s="9">
        <v>6</v>
      </c>
      <c r="E39" s="9">
        <v>3.21</v>
      </c>
      <c r="F39" s="7">
        <f t="shared" si="0"/>
        <v>19.259999999999998</v>
      </c>
      <c r="H39" s="24" t="s">
        <v>195</v>
      </c>
    </row>
    <row r="40" spans="1:8" x14ac:dyDescent="0.3">
      <c r="A40" s="14" t="s">
        <v>12</v>
      </c>
      <c r="B40" s="27" t="s">
        <v>196</v>
      </c>
      <c r="C40" s="18" t="s">
        <v>102</v>
      </c>
      <c r="D40" s="8">
        <v>1</v>
      </c>
      <c r="E40" s="8">
        <v>16.010000000000002</v>
      </c>
      <c r="F40" s="7">
        <f t="shared" si="0"/>
        <v>16.010000000000002</v>
      </c>
      <c r="H40" s="23" t="s">
        <v>196</v>
      </c>
    </row>
    <row r="41" spans="1:8" x14ac:dyDescent="0.3">
      <c r="A41" s="15" t="s">
        <v>39</v>
      </c>
      <c r="B41" s="27" t="s">
        <v>257</v>
      </c>
      <c r="C41" s="19" t="s">
        <v>103</v>
      </c>
      <c r="D41" s="9">
        <v>3</v>
      </c>
      <c r="E41" s="9">
        <v>7.55</v>
      </c>
      <c r="F41" s="7">
        <f t="shared" si="0"/>
        <v>22.65</v>
      </c>
      <c r="H41" s="24" t="s">
        <v>197</v>
      </c>
    </row>
    <row r="42" spans="1:8" x14ac:dyDescent="0.3">
      <c r="A42" s="14" t="s">
        <v>40</v>
      </c>
      <c r="B42" s="27" t="s">
        <v>198</v>
      </c>
      <c r="C42" s="18" t="s">
        <v>104</v>
      </c>
      <c r="D42" s="8">
        <v>12</v>
      </c>
      <c r="E42" s="8">
        <v>3.55</v>
      </c>
      <c r="F42" s="7">
        <f t="shared" si="0"/>
        <v>42.599999999999994</v>
      </c>
      <c r="H42" s="23" t="s">
        <v>198</v>
      </c>
    </row>
    <row r="43" spans="1:8" x14ac:dyDescent="0.3">
      <c r="A43" s="15" t="s">
        <v>41</v>
      </c>
      <c r="B43" s="27" t="s">
        <v>199</v>
      </c>
      <c r="C43" s="19" t="s">
        <v>105</v>
      </c>
      <c r="D43" s="9">
        <v>1</v>
      </c>
      <c r="E43" s="9">
        <v>50.51</v>
      </c>
      <c r="F43" s="7">
        <f t="shared" si="0"/>
        <v>50.51</v>
      </c>
      <c r="H43" s="24" t="s">
        <v>199</v>
      </c>
    </row>
    <row r="44" spans="1:8" x14ac:dyDescent="0.3">
      <c r="A44" s="14" t="s">
        <v>42</v>
      </c>
      <c r="B44" s="27" t="s">
        <v>200</v>
      </c>
      <c r="C44" s="18" t="s">
        <v>106</v>
      </c>
      <c r="D44" s="8">
        <v>1</v>
      </c>
      <c r="E44" s="8">
        <v>24.17</v>
      </c>
      <c r="F44" s="7">
        <f t="shared" si="0"/>
        <v>24.17</v>
      </c>
      <c r="H44" s="23" t="s">
        <v>200</v>
      </c>
    </row>
    <row r="45" spans="1:8" x14ac:dyDescent="0.3">
      <c r="A45" s="15" t="s">
        <v>43</v>
      </c>
      <c r="B45" s="27" t="s">
        <v>201</v>
      </c>
      <c r="C45" s="19" t="s">
        <v>107</v>
      </c>
      <c r="D45" s="9">
        <v>1</v>
      </c>
      <c r="E45" s="9">
        <v>26.01</v>
      </c>
      <c r="F45" s="7">
        <f t="shared" si="0"/>
        <v>26.01</v>
      </c>
      <c r="H45" s="24" t="s">
        <v>201</v>
      </c>
    </row>
    <row r="46" spans="1:8" x14ac:dyDescent="0.3">
      <c r="A46" s="14" t="s">
        <v>44</v>
      </c>
      <c r="B46" s="27" t="s">
        <v>202</v>
      </c>
      <c r="C46" s="18" t="s">
        <v>108</v>
      </c>
      <c r="D46" s="8">
        <v>1</v>
      </c>
      <c r="E46" s="8">
        <v>16.82</v>
      </c>
      <c r="F46" s="7">
        <f t="shared" si="0"/>
        <v>16.82</v>
      </c>
      <c r="H46" s="23" t="s">
        <v>202</v>
      </c>
    </row>
    <row r="47" spans="1:8" x14ac:dyDescent="0.3">
      <c r="A47" s="15" t="s">
        <v>45</v>
      </c>
      <c r="B47" s="27" t="s">
        <v>203</v>
      </c>
      <c r="C47" s="19" t="s">
        <v>109</v>
      </c>
      <c r="D47" s="9">
        <v>2</v>
      </c>
      <c r="E47" s="9">
        <v>25.17</v>
      </c>
      <c r="F47" s="7">
        <f t="shared" si="0"/>
        <v>50.34</v>
      </c>
      <c r="H47" s="24" t="s">
        <v>203</v>
      </c>
    </row>
    <row r="48" spans="1:8" x14ac:dyDescent="0.3">
      <c r="A48" s="14" t="s">
        <v>45</v>
      </c>
      <c r="B48" s="27" t="s">
        <v>204</v>
      </c>
      <c r="C48" s="18" t="s">
        <v>110</v>
      </c>
      <c r="D48" s="8">
        <v>2</v>
      </c>
      <c r="E48" s="8">
        <v>12.5</v>
      </c>
      <c r="F48" s="7">
        <f t="shared" si="0"/>
        <v>25</v>
      </c>
      <c r="H48" s="23" t="s">
        <v>204</v>
      </c>
    </row>
    <row r="49" spans="1:8" x14ac:dyDescent="0.3">
      <c r="A49" s="15" t="s">
        <v>46</v>
      </c>
      <c r="B49" s="27" t="s">
        <v>205</v>
      </c>
      <c r="C49" s="19" t="s">
        <v>111</v>
      </c>
      <c r="D49" s="9">
        <v>1</v>
      </c>
      <c r="E49" s="9">
        <v>28.56</v>
      </c>
      <c r="F49" s="7">
        <f t="shared" si="0"/>
        <v>28.56</v>
      </c>
      <c r="H49" s="24" t="s">
        <v>205</v>
      </c>
    </row>
    <row r="50" spans="1:8" x14ac:dyDescent="0.3">
      <c r="A50" s="14" t="s">
        <v>47</v>
      </c>
      <c r="B50" s="27" t="s">
        <v>206</v>
      </c>
      <c r="C50" s="18" t="s">
        <v>112</v>
      </c>
      <c r="D50" s="8">
        <v>5</v>
      </c>
      <c r="E50" s="8">
        <v>3.35</v>
      </c>
      <c r="F50" s="7">
        <f t="shared" si="0"/>
        <v>16.75</v>
      </c>
      <c r="H50" s="23" t="s">
        <v>206</v>
      </c>
    </row>
    <row r="51" spans="1:8" x14ac:dyDescent="0.3">
      <c r="A51" s="15" t="s">
        <v>46</v>
      </c>
      <c r="B51" s="27" t="s">
        <v>207</v>
      </c>
      <c r="C51" s="19" t="s">
        <v>113</v>
      </c>
      <c r="D51" s="9">
        <v>1</v>
      </c>
      <c r="E51" s="9">
        <v>14.81</v>
      </c>
      <c r="F51" s="7">
        <f t="shared" si="0"/>
        <v>14.81</v>
      </c>
      <c r="H51" s="24" t="s">
        <v>207</v>
      </c>
    </row>
    <row r="52" spans="1:8" x14ac:dyDescent="0.3">
      <c r="A52" s="14" t="s">
        <v>46</v>
      </c>
      <c r="B52" s="27" t="s">
        <v>208</v>
      </c>
      <c r="C52" s="18" t="s">
        <v>114</v>
      </c>
      <c r="D52" s="8">
        <v>1</v>
      </c>
      <c r="E52" s="8">
        <v>19.989999999999998</v>
      </c>
      <c r="F52" s="7">
        <f t="shared" si="0"/>
        <v>19.989999999999998</v>
      </c>
      <c r="H52" s="23" t="s">
        <v>208</v>
      </c>
    </row>
    <row r="53" spans="1:8" x14ac:dyDescent="0.3">
      <c r="A53" s="15" t="s">
        <v>48</v>
      </c>
      <c r="B53" s="27" t="s">
        <v>209</v>
      </c>
      <c r="C53" s="19" t="s">
        <v>115</v>
      </c>
      <c r="D53" s="9">
        <v>5</v>
      </c>
      <c r="E53" s="9">
        <v>5.36</v>
      </c>
      <c r="F53" s="7">
        <f t="shared" si="0"/>
        <v>26.8</v>
      </c>
      <c r="H53" s="24" t="s">
        <v>209</v>
      </c>
    </row>
    <row r="54" spans="1:8" x14ac:dyDescent="0.3">
      <c r="A54" s="14" t="s">
        <v>49</v>
      </c>
      <c r="B54" s="27" t="s">
        <v>210</v>
      </c>
      <c r="C54" s="18" t="s">
        <v>116</v>
      </c>
      <c r="D54" s="8">
        <v>1</v>
      </c>
      <c r="E54" s="8">
        <v>40.14</v>
      </c>
      <c r="F54" s="7">
        <f t="shared" si="0"/>
        <v>40.14</v>
      </c>
      <c r="H54" s="23" t="s">
        <v>210</v>
      </c>
    </row>
    <row r="55" spans="1:8" x14ac:dyDescent="0.3">
      <c r="A55" s="15" t="s">
        <v>50</v>
      </c>
      <c r="B55" s="27" t="s">
        <v>211</v>
      </c>
      <c r="C55" s="15" t="s">
        <v>81</v>
      </c>
      <c r="D55" s="9">
        <v>1</v>
      </c>
      <c r="E55" s="9">
        <v>300</v>
      </c>
      <c r="F55" s="7">
        <f t="shared" si="0"/>
        <v>300</v>
      </c>
      <c r="H55" s="24" t="s">
        <v>211</v>
      </c>
    </row>
    <row r="56" spans="1:8" x14ac:dyDescent="0.3">
      <c r="A56" s="14" t="s">
        <v>35</v>
      </c>
      <c r="B56" s="27" t="s">
        <v>212</v>
      </c>
      <c r="C56" s="18" t="s">
        <v>117</v>
      </c>
      <c r="D56" s="8">
        <v>6</v>
      </c>
      <c r="E56" s="8">
        <v>11.53</v>
      </c>
      <c r="F56" s="7">
        <f t="shared" si="0"/>
        <v>69.179999999999993</v>
      </c>
      <c r="H56" s="23" t="s">
        <v>212</v>
      </c>
    </row>
    <row r="57" spans="1:8" x14ac:dyDescent="0.3">
      <c r="A57" s="15" t="s">
        <v>48</v>
      </c>
      <c r="B57" s="27" t="s">
        <v>213</v>
      </c>
      <c r="C57" s="19" t="s">
        <v>118</v>
      </c>
      <c r="D57" s="9">
        <v>2</v>
      </c>
      <c r="E57" s="9">
        <v>4.75</v>
      </c>
      <c r="F57" s="7">
        <f t="shared" si="0"/>
        <v>9.5</v>
      </c>
      <c r="H57" s="24" t="s">
        <v>213</v>
      </c>
    </row>
    <row r="58" spans="1:8" x14ac:dyDescent="0.3">
      <c r="A58" s="14" t="s">
        <v>39</v>
      </c>
      <c r="B58" s="27" t="s">
        <v>214</v>
      </c>
      <c r="C58" s="18" t="s">
        <v>119</v>
      </c>
      <c r="D58" s="8">
        <v>1</v>
      </c>
      <c r="E58" s="8">
        <v>5.41</v>
      </c>
      <c r="F58" s="7">
        <f t="shared" si="0"/>
        <v>5.41</v>
      </c>
      <c r="H58" s="23" t="s">
        <v>214</v>
      </c>
    </row>
    <row r="59" spans="1:8" x14ac:dyDescent="0.3">
      <c r="A59" s="15" t="s">
        <v>12</v>
      </c>
      <c r="B59" s="27" t="s">
        <v>215</v>
      </c>
      <c r="C59" s="19" t="s">
        <v>120</v>
      </c>
      <c r="D59" s="9">
        <v>1</v>
      </c>
      <c r="E59" s="9">
        <v>9.0299999999999994</v>
      </c>
      <c r="F59" s="7">
        <f t="shared" si="0"/>
        <v>9.0299999999999994</v>
      </c>
      <c r="H59" s="24" t="s">
        <v>215</v>
      </c>
    </row>
    <row r="60" spans="1:8" x14ac:dyDescent="0.3">
      <c r="A60" s="14" t="s">
        <v>51</v>
      </c>
      <c r="B60" s="27" t="s">
        <v>216</v>
      </c>
      <c r="C60" s="18" t="s">
        <v>121</v>
      </c>
      <c r="D60" s="8">
        <v>1</v>
      </c>
      <c r="E60" s="8">
        <v>16.87</v>
      </c>
      <c r="F60" s="7">
        <f t="shared" si="0"/>
        <v>16.87</v>
      </c>
      <c r="H60" s="23" t="s">
        <v>216</v>
      </c>
    </row>
    <row r="61" spans="1:8" x14ac:dyDescent="0.3">
      <c r="A61" s="15" t="s">
        <v>46</v>
      </c>
      <c r="B61" s="27" t="s">
        <v>217</v>
      </c>
      <c r="C61" s="19" t="s">
        <v>122</v>
      </c>
      <c r="D61" s="9">
        <v>1</v>
      </c>
      <c r="E61" s="9">
        <v>14.02</v>
      </c>
      <c r="F61" s="7">
        <f t="shared" si="0"/>
        <v>14.02</v>
      </c>
      <c r="H61" s="24" t="s">
        <v>217</v>
      </c>
    </row>
    <row r="62" spans="1:8" x14ac:dyDescent="0.3">
      <c r="A62" s="14" t="s">
        <v>52</v>
      </c>
      <c r="B62" s="27" t="s">
        <v>218</v>
      </c>
      <c r="C62" s="18" t="s">
        <v>123</v>
      </c>
      <c r="D62" s="8">
        <v>1</v>
      </c>
      <c r="E62" s="8">
        <v>8.83</v>
      </c>
      <c r="F62" s="7">
        <f t="shared" si="0"/>
        <v>8.83</v>
      </c>
      <c r="H62" s="23" t="s">
        <v>218</v>
      </c>
    </row>
    <row r="63" spans="1:8" x14ac:dyDescent="0.3">
      <c r="A63" s="15" t="s">
        <v>52</v>
      </c>
      <c r="B63" s="27" t="s">
        <v>219</v>
      </c>
      <c r="C63" s="19" t="s">
        <v>124</v>
      </c>
      <c r="D63" s="9">
        <v>1</v>
      </c>
      <c r="E63" s="9">
        <v>7.19</v>
      </c>
      <c r="F63" s="7">
        <f t="shared" si="0"/>
        <v>7.19</v>
      </c>
      <c r="H63" s="24" t="s">
        <v>219</v>
      </c>
    </row>
    <row r="64" spans="1:8" x14ac:dyDescent="0.3">
      <c r="A64" s="14" t="s">
        <v>48</v>
      </c>
      <c r="B64" s="27" t="s">
        <v>220</v>
      </c>
      <c r="C64" s="18" t="s">
        <v>125</v>
      </c>
      <c r="D64" s="8">
        <v>4</v>
      </c>
      <c r="E64" s="8">
        <v>2.76</v>
      </c>
      <c r="F64" s="7">
        <f t="shared" si="0"/>
        <v>11.04</v>
      </c>
      <c r="H64" s="23" t="s">
        <v>220</v>
      </c>
    </row>
    <row r="65" spans="1:8" x14ac:dyDescent="0.3">
      <c r="A65" s="15" t="s">
        <v>45</v>
      </c>
      <c r="B65" s="27" t="s">
        <v>221</v>
      </c>
      <c r="C65" s="19" t="s">
        <v>126</v>
      </c>
      <c r="D65" s="9">
        <v>2</v>
      </c>
      <c r="E65" s="9">
        <v>3.49</v>
      </c>
      <c r="F65" s="7">
        <f t="shared" si="0"/>
        <v>6.98</v>
      </c>
      <c r="H65" s="24" t="s">
        <v>221</v>
      </c>
    </row>
    <row r="66" spans="1:8" x14ac:dyDescent="0.3">
      <c r="A66" s="14" t="s">
        <v>37</v>
      </c>
      <c r="B66" s="27" t="s">
        <v>222</v>
      </c>
      <c r="C66" s="18" t="s">
        <v>127</v>
      </c>
      <c r="D66" s="8">
        <v>1</v>
      </c>
      <c r="E66" s="8">
        <v>42.76</v>
      </c>
      <c r="F66" s="7">
        <f t="shared" si="0"/>
        <v>42.76</v>
      </c>
      <c r="H66" s="23" t="s">
        <v>222</v>
      </c>
    </row>
    <row r="67" spans="1:8" x14ac:dyDescent="0.3">
      <c r="A67" s="15" t="s">
        <v>53</v>
      </c>
      <c r="B67" s="27" t="s">
        <v>223</v>
      </c>
      <c r="C67" s="19" t="s">
        <v>128</v>
      </c>
      <c r="D67" s="9">
        <v>1</v>
      </c>
      <c r="E67" s="9">
        <v>45.81</v>
      </c>
      <c r="F67" s="7">
        <f t="shared" ref="F67:F105" si="1">D67*E67</f>
        <v>45.81</v>
      </c>
      <c r="H67" s="24" t="s">
        <v>223</v>
      </c>
    </row>
    <row r="68" spans="1:8" x14ac:dyDescent="0.3">
      <c r="A68" s="14" t="s">
        <v>45</v>
      </c>
      <c r="B68" s="27" t="s">
        <v>224</v>
      </c>
      <c r="C68" s="18" t="s">
        <v>129</v>
      </c>
      <c r="D68" s="8">
        <v>1</v>
      </c>
      <c r="E68" s="8">
        <v>18.73</v>
      </c>
      <c r="F68" s="7">
        <f t="shared" si="1"/>
        <v>18.73</v>
      </c>
      <c r="H68" s="23" t="s">
        <v>224</v>
      </c>
    </row>
    <row r="69" spans="1:8" x14ac:dyDescent="0.3">
      <c r="A69" s="15" t="s">
        <v>54</v>
      </c>
      <c r="B69" s="27" t="s">
        <v>225</v>
      </c>
      <c r="C69" s="19" t="s">
        <v>130</v>
      </c>
      <c r="D69" s="9">
        <v>1</v>
      </c>
      <c r="E69" s="9">
        <v>4.99</v>
      </c>
      <c r="F69" s="7">
        <f t="shared" si="1"/>
        <v>4.99</v>
      </c>
      <c r="H69" s="24" t="s">
        <v>225</v>
      </c>
    </row>
    <row r="70" spans="1:8" x14ac:dyDescent="0.3">
      <c r="A70" s="14" t="s">
        <v>54</v>
      </c>
      <c r="B70" s="27" t="s">
        <v>226</v>
      </c>
      <c r="C70" s="18" t="s">
        <v>131</v>
      </c>
      <c r="D70" s="8">
        <v>1</v>
      </c>
      <c r="E70" s="8">
        <v>4.68</v>
      </c>
      <c r="F70" s="7">
        <f t="shared" si="1"/>
        <v>4.68</v>
      </c>
      <c r="H70" s="23" t="s">
        <v>226</v>
      </c>
    </row>
    <row r="71" spans="1:8" x14ac:dyDescent="0.3">
      <c r="A71" s="15" t="s">
        <v>55</v>
      </c>
      <c r="B71" s="27" t="s">
        <v>227</v>
      </c>
      <c r="C71" s="19" t="s">
        <v>132</v>
      </c>
      <c r="D71" s="9">
        <v>1</v>
      </c>
      <c r="E71" s="9">
        <v>39.72</v>
      </c>
      <c r="F71" s="7">
        <f t="shared" si="1"/>
        <v>39.72</v>
      </c>
      <c r="H71" s="24" t="s">
        <v>227</v>
      </c>
    </row>
    <row r="72" spans="1:8" x14ac:dyDescent="0.3">
      <c r="A72" s="14" t="s">
        <v>46</v>
      </c>
      <c r="B72" s="27" t="s">
        <v>228</v>
      </c>
      <c r="C72" s="18" t="s">
        <v>133</v>
      </c>
      <c r="D72" s="8">
        <v>1</v>
      </c>
      <c r="E72" s="8">
        <v>15.07</v>
      </c>
      <c r="F72" s="7">
        <f t="shared" si="1"/>
        <v>15.07</v>
      </c>
      <c r="H72" s="23" t="s">
        <v>228</v>
      </c>
    </row>
    <row r="73" spans="1:8" x14ac:dyDescent="0.3">
      <c r="A73" s="15" t="s">
        <v>56</v>
      </c>
      <c r="B73" s="27" t="s">
        <v>229</v>
      </c>
      <c r="C73" s="19" t="s">
        <v>134</v>
      </c>
      <c r="D73" s="9">
        <v>1</v>
      </c>
      <c r="E73" s="9">
        <v>45.58</v>
      </c>
      <c r="F73" s="7">
        <f t="shared" si="1"/>
        <v>45.58</v>
      </c>
      <c r="H73" s="24" t="s">
        <v>229</v>
      </c>
    </row>
    <row r="74" spans="1:8" x14ac:dyDescent="0.3">
      <c r="A74" s="14" t="s">
        <v>57</v>
      </c>
      <c r="B74" s="27" t="s">
        <v>230</v>
      </c>
      <c r="C74" s="18" t="s">
        <v>135</v>
      </c>
      <c r="D74" s="8">
        <v>1</v>
      </c>
      <c r="E74" s="8">
        <v>6.43</v>
      </c>
      <c r="F74" s="7">
        <f t="shared" si="1"/>
        <v>6.43</v>
      </c>
      <c r="H74" s="23" t="s">
        <v>230</v>
      </c>
    </row>
    <row r="75" spans="1:8" x14ac:dyDescent="0.3">
      <c r="A75" s="15" t="s">
        <v>11</v>
      </c>
      <c r="B75" s="27" t="s">
        <v>231</v>
      </c>
      <c r="C75" s="19" t="s">
        <v>136</v>
      </c>
      <c r="D75" s="9">
        <v>1</v>
      </c>
      <c r="E75" s="9">
        <v>26.5</v>
      </c>
      <c r="F75" s="7">
        <f t="shared" si="1"/>
        <v>26.5</v>
      </c>
      <c r="H75" s="24" t="s">
        <v>231</v>
      </c>
    </row>
    <row r="76" spans="1:8" x14ac:dyDescent="0.3">
      <c r="A76" s="14" t="s">
        <v>58</v>
      </c>
      <c r="B76" s="27" t="s">
        <v>232</v>
      </c>
      <c r="C76" s="14" t="s">
        <v>137</v>
      </c>
      <c r="D76" s="8">
        <v>2</v>
      </c>
      <c r="E76" s="8">
        <v>12.8</v>
      </c>
      <c r="F76" s="7">
        <f t="shared" si="1"/>
        <v>25.6</v>
      </c>
      <c r="H76" s="23" t="s">
        <v>232</v>
      </c>
    </row>
    <row r="77" spans="1:8" x14ac:dyDescent="0.3">
      <c r="A77" s="15" t="s">
        <v>46</v>
      </c>
      <c r="B77" s="27" t="s">
        <v>233</v>
      </c>
      <c r="C77" s="19" t="s">
        <v>138</v>
      </c>
      <c r="D77" s="9">
        <v>1</v>
      </c>
      <c r="E77" s="9">
        <v>14.16</v>
      </c>
      <c r="F77" s="7">
        <f t="shared" si="1"/>
        <v>14.16</v>
      </c>
      <c r="H77" s="24" t="s">
        <v>233</v>
      </c>
    </row>
    <row r="78" spans="1:8" x14ac:dyDescent="0.3">
      <c r="A78" s="14" t="s">
        <v>39</v>
      </c>
      <c r="B78" s="27" t="s">
        <v>234</v>
      </c>
      <c r="C78" s="18" t="s">
        <v>139</v>
      </c>
      <c r="D78" s="8">
        <v>5</v>
      </c>
      <c r="E78" s="8">
        <v>6.98</v>
      </c>
      <c r="F78" s="7">
        <f t="shared" si="1"/>
        <v>34.900000000000006</v>
      </c>
      <c r="H78" s="23" t="s">
        <v>234</v>
      </c>
    </row>
    <row r="79" spans="1:8" x14ac:dyDescent="0.3">
      <c r="A79" s="15" t="s">
        <v>59</v>
      </c>
      <c r="B79" s="27" t="s">
        <v>235</v>
      </c>
      <c r="C79" s="19" t="s">
        <v>140</v>
      </c>
      <c r="D79" s="9">
        <v>1</v>
      </c>
      <c r="E79" s="9">
        <v>3.76</v>
      </c>
      <c r="F79" s="7">
        <f t="shared" si="1"/>
        <v>3.76</v>
      </c>
      <c r="H79" s="24" t="s">
        <v>235</v>
      </c>
    </row>
    <row r="80" spans="1:8" x14ac:dyDescent="0.3">
      <c r="A80" s="14" t="s">
        <v>60</v>
      </c>
      <c r="B80" s="27" t="s">
        <v>236</v>
      </c>
      <c r="C80" s="18" t="s">
        <v>141</v>
      </c>
      <c r="D80" s="8">
        <v>1</v>
      </c>
      <c r="E80" s="8">
        <v>4.72</v>
      </c>
      <c r="F80" s="7">
        <f t="shared" si="1"/>
        <v>4.72</v>
      </c>
      <c r="H80" s="23" t="s">
        <v>236</v>
      </c>
    </row>
    <row r="81" spans="1:8" x14ac:dyDescent="0.3">
      <c r="A81" s="15" t="s">
        <v>61</v>
      </c>
      <c r="B81" s="27" t="s">
        <v>237</v>
      </c>
      <c r="C81" s="19" t="s">
        <v>142</v>
      </c>
      <c r="D81" s="9">
        <v>2</v>
      </c>
      <c r="E81" s="9">
        <v>61.04</v>
      </c>
      <c r="F81" s="7">
        <f t="shared" si="1"/>
        <v>122.08</v>
      </c>
      <c r="H81" s="24" t="s">
        <v>237</v>
      </c>
    </row>
    <row r="82" spans="1:8" x14ac:dyDescent="0.3">
      <c r="A82" s="14" t="s">
        <v>62</v>
      </c>
      <c r="B82" s="27" t="s">
        <v>238</v>
      </c>
      <c r="C82" s="18" t="s">
        <v>143</v>
      </c>
      <c r="D82" s="8">
        <v>1</v>
      </c>
      <c r="E82" s="8">
        <v>382.26</v>
      </c>
      <c r="F82" s="7">
        <f t="shared" si="1"/>
        <v>382.26</v>
      </c>
      <c r="H82" s="23" t="s">
        <v>238</v>
      </c>
    </row>
    <row r="83" spans="1:8" x14ac:dyDescent="0.3">
      <c r="A83" s="15" t="s">
        <v>63</v>
      </c>
      <c r="B83" s="27" t="s">
        <v>239</v>
      </c>
      <c r="C83" s="19" t="s">
        <v>144</v>
      </c>
      <c r="D83" s="9">
        <v>2</v>
      </c>
      <c r="E83" s="9">
        <v>47.78</v>
      </c>
      <c r="F83" s="7">
        <f t="shared" si="1"/>
        <v>95.56</v>
      </c>
      <c r="H83" s="24" t="s">
        <v>239</v>
      </c>
    </row>
    <row r="84" spans="1:8" x14ac:dyDescent="0.3">
      <c r="A84" s="14" t="s">
        <v>64</v>
      </c>
      <c r="B84" s="27" t="s">
        <v>240</v>
      </c>
      <c r="C84" s="18" t="s">
        <v>145</v>
      </c>
      <c r="D84" s="8">
        <v>5</v>
      </c>
      <c r="E84" s="8">
        <v>9.99</v>
      </c>
      <c r="F84" s="7">
        <f t="shared" si="1"/>
        <v>49.95</v>
      </c>
      <c r="H84" s="23" t="s">
        <v>240</v>
      </c>
    </row>
    <row r="85" spans="1:8" x14ac:dyDescent="0.3">
      <c r="A85" s="15" t="s">
        <v>35</v>
      </c>
      <c r="B85" s="27" t="s">
        <v>241</v>
      </c>
      <c r="C85" s="19" t="s">
        <v>146</v>
      </c>
      <c r="D85" s="9">
        <v>1</v>
      </c>
      <c r="E85" s="9">
        <v>6.02</v>
      </c>
      <c r="F85" s="7">
        <f t="shared" si="1"/>
        <v>6.02</v>
      </c>
      <c r="H85" s="24" t="s">
        <v>241</v>
      </c>
    </row>
    <row r="86" spans="1:8" x14ac:dyDescent="0.3">
      <c r="A86" s="14" t="s">
        <v>63</v>
      </c>
      <c r="B86" s="27" t="s">
        <v>242</v>
      </c>
      <c r="C86" s="18" t="s">
        <v>147</v>
      </c>
      <c r="D86" s="8">
        <v>1</v>
      </c>
      <c r="E86" s="8">
        <v>2.3199999999999998</v>
      </c>
      <c r="F86" s="7">
        <f t="shared" si="1"/>
        <v>2.3199999999999998</v>
      </c>
      <c r="H86" s="23" t="s">
        <v>242</v>
      </c>
    </row>
    <row r="87" spans="1:8" x14ac:dyDescent="0.3">
      <c r="A87" s="15" t="s">
        <v>65</v>
      </c>
      <c r="B87" s="27" t="s">
        <v>243</v>
      </c>
      <c r="C87" s="15" t="s">
        <v>81</v>
      </c>
      <c r="D87" s="9">
        <v>4</v>
      </c>
      <c r="E87" s="9">
        <v>11.99</v>
      </c>
      <c r="F87" s="7">
        <f t="shared" si="1"/>
        <v>47.96</v>
      </c>
      <c r="H87" s="24" t="s">
        <v>243</v>
      </c>
    </row>
    <row r="88" spans="1:8" x14ac:dyDescent="0.3">
      <c r="A88" s="14" t="s">
        <v>63</v>
      </c>
      <c r="B88" s="27" t="s">
        <v>244</v>
      </c>
      <c r="C88" s="14" t="s">
        <v>148</v>
      </c>
      <c r="D88" s="8">
        <v>1</v>
      </c>
      <c r="E88" s="8">
        <v>9.99</v>
      </c>
      <c r="F88" s="7">
        <f t="shared" si="1"/>
        <v>9.99</v>
      </c>
      <c r="H88" s="23" t="s">
        <v>244</v>
      </c>
    </row>
    <row r="89" spans="1:8" x14ac:dyDescent="0.3">
      <c r="A89" s="15" t="s">
        <v>66</v>
      </c>
      <c r="B89" s="27" t="s">
        <v>245</v>
      </c>
      <c r="C89" s="19" t="s">
        <v>149</v>
      </c>
      <c r="D89" s="9">
        <v>2</v>
      </c>
      <c r="E89" s="9">
        <v>14.63</v>
      </c>
      <c r="F89" s="7">
        <f t="shared" si="1"/>
        <v>29.26</v>
      </c>
      <c r="H89" s="24" t="s">
        <v>245</v>
      </c>
    </row>
    <row r="90" spans="1:8" x14ac:dyDescent="0.3">
      <c r="A90" s="14" t="s">
        <v>67</v>
      </c>
      <c r="B90" s="27" t="s">
        <v>246</v>
      </c>
      <c r="C90" s="22" t="s">
        <v>150</v>
      </c>
      <c r="D90" s="8">
        <v>4</v>
      </c>
      <c r="E90" s="8">
        <v>167.42</v>
      </c>
      <c r="F90" s="7">
        <f t="shared" si="1"/>
        <v>669.68</v>
      </c>
      <c r="H90" s="23" t="s">
        <v>246</v>
      </c>
    </row>
    <row r="91" spans="1:8" x14ac:dyDescent="0.3">
      <c r="A91" s="15" t="s">
        <v>46</v>
      </c>
      <c r="B91" s="27" t="s">
        <v>247</v>
      </c>
      <c r="C91" s="19" t="s">
        <v>151</v>
      </c>
      <c r="D91" s="9">
        <v>1</v>
      </c>
      <c r="E91" s="9">
        <v>12.61</v>
      </c>
      <c r="F91" s="7">
        <f t="shared" si="1"/>
        <v>12.61</v>
      </c>
      <c r="H91" s="24" t="s">
        <v>247</v>
      </c>
    </row>
    <row r="92" spans="1:8" x14ac:dyDescent="0.3">
      <c r="A92" s="14" t="s">
        <v>68</v>
      </c>
      <c r="B92" s="27"/>
      <c r="C92" s="14" t="s">
        <v>152</v>
      </c>
      <c r="D92" s="8">
        <v>2</v>
      </c>
      <c r="E92" s="8">
        <v>10.45</v>
      </c>
      <c r="F92" s="7">
        <f t="shared" si="1"/>
        <v>20.9</v>
      </c>
      <c r="H92" s="25" t="s">
        <v>81</v>
      </c>
    </row>
    <row r="93" spans="1:8" x14ac:dyDescent="0.3">
      <c r="A93" s="15" t="s">
        <v>68</v>
      </c>
      <c r="B93" s="27"/>
      <c r="C93" s="15" t="s">
        <v>153</v>
      </c>
      <c r="D93" s="9">
        <v>3</v>
      </c>
      <c r="E93" s="9">
        <v>2.1800000000000002</v>
      </c>
      <c r="F93" s="7">
        <f t="shared" si="1"/>
        <v>6.5400000000000009</v>
      </c>
      <c r="H93" s="26" t="s">
        <v>81</v>
      </c>
    </row>
    <row r="94" spans="1:8" x14ac:dyDescent="0.3">
      <c r="A94" s="14" t="s">
        <v>69</v>
      </c>
      <c r="B94" s="27"/>
      <c r="C94" s="14">
        <v>156665159304</v>
      </c>
      <c r="D94" s="8">
        <v>3</v>
      </c>
      <c r="E94" s="8">
        <v>35.97</v>
      </c>
      <c r="F94" s="7">
        <f t="shared" si="1"/>
        <v>107.91</v>
      </c>
      <c r="H94" s="25" t="s">
        <v>81</v>
      </c>
    </row>
    <row r="95" spans="1:8" x14ac:dyDescent="0.3">
      <c r="A95" s="15" t="s">
        <v>67</v>
      </c>
      <c r="B95" s="27" t="s">
        <v>246</v>
      </c>
      <c r="C95" s="15" t="s">
        <v>150</v>
      </c>
      <c r="D95" s="9">
        <v>3</v>
      </c>
      <c r="E95" s="9">
        <v>167.42</v>
      </c>
      <c r="F95" s="7">
        <f t="shared" si="1"/>
        <v>502.26</v>
      </c>
      <c r="H95" s="24" t="s">
        <v>246</v>
      </c>
    </row>
    <row r="96" spans="1:8" x14ac:dyDescent="0.3">
      <c r="A96" s="14" t="s">
        <v>70</v>
      </c>
      <c r="B96" s="27" t="s">
        <v>258</v>
      </c>
      <c r="C96" s="14">
        <v>316529</v>
      </c>
      <c r="D96" s="8">
        <v>1</v>
      </c>
      <c r="E96" s="8">
        <v>405</v>
      </c>
      <c r="F96" s="7">
        <f t="shared" si="1"/>
        <v>405</v>
      </c>
      <c r="H96" s="23" t="s">
        <v>248</v>
      </c>
    </row>
    <row r="97" spans="1:8" x14ac:dyDescent="0.3">
      <c r="A97" s="15" t="s">
        <v>66</v>
      </c>
      <c r="B97" s="27" t="s">
        <v>259</v>
      </c>
      <c r="C97" s="12" t="s">
        <v>154</v>
      </c>
      <c r="D97" s="9">
        <v>1</v>
      </c>
      <c r="E97" s="9">
        <v>37.4</v>
      </c>
      <c r="F97" s="7">
        <f t="shared" si="1"/>
        <v>37.4</v>
      </c>
      <c r="H97" s="24" t="s">
        <v>249</v>
      </c>
    </row>
    <row r="98" spans="1:8" x14ac:dyDescent="0.3">
      <c r="A98" s="14" t="s">
        <v>17</v>
      </c>
      <c r="B98" s="27" t="s">
        <v>250</v>
      </c>
      <c r="C98" s="13" t="s">
        <v>155</v>
      </c>
      <c r="D98" s="8">
        <v>1</v>
      </c>
      <c r="E98" s="8">
        <v>20.91</v>
      </c>
      <c r="F98" s="7">
        <f t="shared" si="1"/>
        <v>20.91</v>
      </c>
      <c r="H98" s="23" t="s">
        <v>250</v>
      </c>
    </row>
    <row r="99" spans="1:8" x14ac:dyDescent="0.3">
      <c r="A99" s="15" t="s">
        <v>61</v>
      </c>
      <c r="B99" s="27" t="s">
        <v>260</v>
      </c>
      <c r="C99" s="12" t="s">
        <v>77</v>
      </c>
      <c r="D99" s="9">
        <v>1</v>
      </c>
      <c r="E99" s="9">
        <v>79.099999999999994</v>
      </c>
      <c r="F99" s="7">
        <f t="shared" si="1"/>
        <v>79.099999999999994</v>
      </c>
      <c r="H99" s="24" t="s">
        <v>251</v>
      </c>
    </row>
    <row r="100" spans="1:8" x14ac:dyDescent="0.3">
      <c r="A100" s="14" t="s">
        <v>71</v>
      </c>
      <c r="B100" s="27" t="s">
        <v>252</v>
      </c>
      <c r="C100" s="18" t="s">
        <v>156</v>
      </c>
      <c r="D100" s="8">
        <v>1</v>
      </c>
      <c r="E100" s="8">
        <v>16.260000000000002</v>
      </c>
      <c r="F100" s="7">
        <f t="shared" si="1"/>
        <v>16.260000000000002</v>
      </c>
      <c r="H100" s="23" t="s">
        <v>252</v>
      </c>
    </row>
    <row r="101" spans="1:8" x14ac:dyDescent="0.3">
      <c r="A101" s="15" t="s">
        <v>72</v>
      </c>
      <c r="B101" s="27" t="s">
        <v>253</v>
      </c>
      <c r="C101" s="19" t="s">
        <v>157</v>
      </c>
      <c r="D101" s="9">
        <v>1</v>
      </c>
      <c r="E101" s="9">
        <v>6.94</v>
      </c>
      <c r="F101" s="7">
        <f t="shared" si="1"/>
        <v>6.94</v>
      </c>
      <c r="H101" s="24" t="s">
        <v>253</v>
      </c>
    </row>
    <row r="102" spans="1:8" x14ac:dyDescent="0.3">
      <c r="A102" s="14" t="s">
        <v>73</v>
      </c>
      <c r="B102" s="27" t="s">
        <v>254</v>
      </c>
      <c r="C102" s="18" t="s">
        <v>158</v>
      </c>
      <c r="D102" s="8">
        <v>1</v>
      </c>
      <c r="E102" s="8">
        <v>7.91</v>
      </c>
      <c r="F102" s="7">
        <f t="shared" si="1"/>
        <v>7.91</v>
      </c>
      <c r="H102" s="23" t="s">
        <v>254</v>
      </c>
    </row>
    <row r="103" spans="1:8" x14ac:dyDescent="0.3">
      <c r="A103" s="15" t="s">
        <v>74</v>
      </c>
      <c r="B103" s="27" t="s">
        <v>255</v>
      </c>
      <c r="C103" s="19" t="s">
        <v>159</v>
      </c>
      <c r="D103" s="9">
        <v>1</v>
      </c>
      <c r="E103" s="9">
        <v>7.68</v>
      </c>
      <c r="F103" s="7">
        <f t="shared" si="1"/>
        <v>7.68</v>
      </c>
      <c r="H103" s="24" t="s">
        <v>255</v>
      </c>
    </row>
    <row r="104" spans="1:8" x14ac:dyDescent="0.3">
      <c r="A104" s="15" t="s">
        <v>261</v>
      </c>
      <c r="B104" s="27" t="s">
        <v>264</v>
      </c>
      <c r="C104" s="19" t="s">
        <v>265</v>
      </c>
      <c r="D104" s="9">
        <v>1</v>
      </c>
      <c r="E104" s="9">
        <v>3.98</v>
      </c>
      <c r="F104" s="7">
        <f t="shared" si="1"/>
        <v>3.98</v>
      </c>
      <c r="H104" s="1" t="s">
        <v>263</v>
      </c>
    </row>
    <row r="105" spans="1:8" x14ac:dyDescent="0.3">
      <c r="A105" s="15" t="s">
        <v>262</v>
      </c>
      <c r="B105" s="27" t="s">
        <v>268</v>
      </c>
      <c r="C105" s="19" t="s">
        <v>267</v>
      </c>
      <c r="D105" s="9">
        <v>1</v>
      </c>
      <c r="E105" s="9">
        <v>5.35</v>
      </c>
      <c r="F105" s="7">
        <f t="shared" si="1"/>
        <v>5.35</v>
      </c>
      <c r="H105" s="1" t="s">
        <v>266</v>
      </c>
    </row>
    <row r="106" spans="1:8" x14ac:dyDescent="0.3">
      <c r="A106" s="11"/>
      <c r="B106" s="11"/>
      <c r="C106" s="11"/>
      <c r="H106" s="11"/>
    </row>
    <row r="107" spans="1:8" x14ac:dyDescent="0.3">
      <c r="A107" s="11"/>
      <c r="B107" s="11"/>
      <c r="C107" s="11"/>
      <c r="H107" s="11"/>
    </row>
    <row r="109" spans="1:8" x14ac:dyDescent="0.3">
      <c r="F109" s="6">
        <f>SUM(F2:F105)</f>
        <v>9542.3600000000042</v>
      </c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6" r:id="rId89" xr:uid="{66B68E33-6FB6-4B9E-8DEE-AD4543BA3948}"/>
    <hyperlink ref="H95" r:id="rId90" display="https://www.dwyeromega.com/en-us/oem-style-compact-pressure-transmitters/PX119/p/PX159A-060G5V" xr:uid="{E0383BBC-B224-42C5-8E0D-F57DE49C5FA3}"/>
    <hyperlink ref="H97" r:id="rId91" xr:uid="{A3D63FAB-C850-40A1-A637-DF41091272C8}"/>
    <hyperlink ref="H98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99" r:id="rId93" xr:uid="{94CC04D7-EB9A-450B-BB5C-C756BC4DE898}"/>
    <hyperlink ref="H100" r:id="rId94" display="https://www.grainger.com/product/IGUS-Flanged-Sleeve-Bearing-Polymer-2NCK6" xr:uid="{83384CCF-7FBA-4E7B-9A1D-1C877A885273}"/>
    <hyperlink ref="H101" r:id="rId95" display="https://www.grainger.com/product/Flat-Washer-Case-Hardened-22UH10" xr:uid="{F6D6A8E5-AD79-44C6-A73D-2B94FCDD6282}"/>
    <hyperlink ref="H102" r:id="rId96" display="https://www.grainger.com/product/Hex-Head-Cap-Screw-Steel-22RY64" xr:uid="{2D74872F-EB16-4A0C-9164-FAB0F7694052}"/>
    <hyperlink ref="H103" r:id="rId97" display="https://www.grainger.com/product/Hex-Nut-Std-Hex-4FAY9" xr:uid="{DC92A91C-6CBD-4254-8AF0-587D141AC162}"/>
    <hyperlink ref="H104" r:id="rId98" display="https://www.grainger.com/product/Hex-Tap-Bolt-Steel-41UD24" xr:uid="{0D740AD9-1FDE-4176-A06B-B3EFF547D641}"/>
    <hyperlink ref="H105" r:id="rId99" display="https://www.grainger.com/product/Hex-Nut-Std-Hex-2FE69" xr:uid="{22C2DD3D-1FAC-40E8-B7A6-B2D483F59B0C}"/>
  </hyperlinks>
  <pageMargins left="0.7" right="0.7" top="0.75" bottom="0.75" header="0.3" footer="0.3"/>
  <pageSetup orientation="portrait" r:id="rId100"/>
  <tableParts count="1">
    <tablePart r:id="rId10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Drew Huebner</cp:lastModifiedBy>
  <cp:lastPrinted>2025-05-01T19:35:57Z</cp:lastPrinted>
  <dcterms:created xsi:type="dcterms:W3CDTF">2025-03-06T14:44:50Z</dcterms:created>
  <dcterms:modified xsi:type="dcterms:W3CDTF">2026-07-20T18:11:43Z</dcterms:modified>
</cp:coreProperties>
</file>