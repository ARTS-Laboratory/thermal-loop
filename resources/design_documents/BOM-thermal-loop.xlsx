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d.docs.live.net/94ce74fd9ae883e9/Documents/GitHub/thermal-loop/resources/design_documents/"/>
    </mc:Choice>
  </mc:AlternateContent>
  <xr:revisionPtr revIDLastSave="0" documentId="8_{F6A0CB86-34E3-4676-9B6A-89D84CAB0162}" xr6:coauthVersionLast="47" xr6:coauthVersionMax="47" xr10:uidLastSave="{00000000-0000-0000-0000-000000000000}"/>
  <bookViews>
    <workbookView xWindow="-108" yWindow="-108" windowWidth="23256" windowHeight="12456" xr2:uid="{FDAE7DA4-9528-4FC7-A320-70DA50473DCE}"/>
  </bookViews>
  <sheets>
    <sheet name="bill_of_materia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  <c r="E43" i="1" l="1"/>
</calcChain>
</file>

<file path=xl/sharedStrings.xml><?xml version="1.0" encoding="utf-8"?>
<sst xmlns="http://schemas.openxmlformats.org/spreadsheetml/2006/main" count="45" uniqueCount="41">
  <si>
    <t>Designator</t>
  </si>
  <si>
    <t>Component</t>
  </si>
  <si>
    <t>Amount</t>
  </si>
  <si>
    <t>Individual Cost</t>
  </si>
  <si>
    <t>Total Cost</t>
  </si>
  <si>
    <t xml:space="preserve">Notes </t>
  </si>
  <si>
    <t>Vendor 1</t>
  </si>
  <si>
    <t>Vendor 2</t>
  </si>
  <si>
    <t>Vendor 3</t>
  </si>
  <si>
    <t>Vendor 4</t>
  </si>
  <si>
    <t>Vendor 5</t>
  </si>
  <si>
    <t>Vendor 6</t>
  </si>
  <si>
    <t>rod top seal flange</t>
  </si>
  <si>
    <t>APPROVED VENDOR Pipe Flange: Steel, Threaded Flange, 1 1/2 in Pipe Size, Raised Face Threaded Flange</t>
  </si>
  <si>
    <t>Needed Larger Flange, but can downsize if needed</t>
  </si>
  <si>
    <t>https://www.grainger.com/product/4TXF5?gucid=N:N:FPL:Free:GGL:CSM-1946:tew63h3:20501231</t>
  </si>
  <si>
    <t>rod top seal bushing</t>
  </si>
  <si>
    <t>Pipe Straight: Bushing, 1 1/2 in x 3/4 in Fitting Pipe Size, Schedule 80, Male NPT x Female NPT</t>
  </si>
  <si>
    <t>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</t>
  </si>
  <si>
    <t>rod top seal compression ring</t>
  </si>
  <si>
    <t>PARKER Compression Fitting Adapter: 1/2 in OD x 3/4 in Pipe Fitting Size, Compression x MNPT</t>
  </si>
  <si>
    <t>https://www.grainger.com/product/2KKX5?gucid=N:N:PS:Paid:GGL:CSM-2295:UU5CX9:20800606:APZ_1&amp;gclsrc=aw.ds&amp;gad_source=1&amp;gad_campaignid=22475795893&amp;gclid=Cj0KCQiAyP3KBhD9ARIsAAJLnnaI2Hs8ee39Gi-kgivmDRybdXzY3qDvMaoXfb5nBBu7KnfStFkr050aAiZREALw_wcB</t>
  </si>
  <si>
    <t>heated rod</t>
  </si>
  <si>
    <t>NICHROME ROD Various lengths, OD 1/2 in (12.7 mm)</t>
  </si>
  <si>
    <t>Price Varies</t>
  </si>
  <si>
    <t>https://www.alibaba.com/product-detail/Manufacture-High-Temperature-Nichrome-Nickel-Alloy_1600301871567.html?spm=a2700.prosearch.normal_offer.d_title.936367afbZjywP&amp;priceId=7971a51af016405b9b2af3bda7ecc84f</t>
  </si>
  <si>
    <t>https://www.alibaba.com/product-detail/Nichrome-Round-Circle-Rod-Inconel-713_1601578632529.html?spm=a2700.prosearch.normal_offer.d_title.326567afkT0hVH&amp;priceId=7d6d2e1736f541b98105b66ff059c288</t>
  </si>
  <si>
    <t>https://www.alibaba.com/product-detail/Resistance-Nichrome-Alloy-Nicr-80-20_1601612829928.html?spm=a2700.prosearch.normal_offer.d_title.936367afbZjywP&amp;priceId=7971a51af016405b9b2af3bda7ecc84f</t>
  </si>
  <si>
    <t>Control for Proportional Valve</t>
  </si>
  <si>
    <t>Dig. control electroncis for prop.valves: 12-24 V/ 40-220 mA/ (-)10-60 C/ 80-6000 Hz. Article No. 316531</t>
  </si>
  <si>
    <t>Ordered</t>
  </si>
  <si>
    <t>https://www.burkert.com/en/products/solenoid-control-valves/controllers/316531</t>
  </si>
  <si>
    <t>Power supply connector</t>
  </si>
  <si>
    <t xml:space="preserve">plug A standard with UL: 0-250 V/ 10 A/ (-)30-90 C. Article No. 314802 </t>
  </si>
  <si>
    <t>plug A standard with UL</t>
  </si>
  <si>
    <t>Proportional Valve</t>
  </si>
  <si>
    <t>2/2-way-proportional valve: normally closed/ 10 mm/ FKM / Brass / NPT inner thread / 24 V/ (-1)-3 bar/ (-)10-90 C. Article No. 164598</t>
  </si>
  <si>
    <t>2/2-way-proportional valve</t>
  </si>
  <si>
    <t>Dig. control electroncis for prop.valves: Calbe feed-through/ 12-24 V/ 200 - 1000 mA/ (-)10-60 C/ 80-6000 Hz</t>
  </si>
  <si>
    <t>Dig. control electroncis for prop.valves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</si>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</sst>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1" fillId="0" borderId="0" xfId="1" applyAlignment="1">
      <alignment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7" fontId="0" fillId="0" borderId="0" xfId="0" applyNumberFormat="1" applyAlignment="1">
      <alignment horizontal="right" vertical="center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rkert-usa.com/en/products/solenoid-control-valves/general-purpose-solenoid-control-valves/164598" TargetMode="External"/><Relationship Id="rId2" Type="http://schemas.openxmlformats.org/officeDocument/2006/relationships/hyperlink" Target="https://www.burkert.com/en/products/solenoid-valves/accessories/cable-plugs/314802" TargetMode="External"/><Relationship Id="rId1" Type="http://schemas.openxmlformats.org/officeDocument/2006/relationships/hyperlink" Target="https://www.burkert.com/en/products/solenoid-control-valves/controllers/31653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burkert-usa.com/en/products/solenoid-control-valves/controllers/3165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L43"/>
  <sheetViews>
    <sheetView tabSelected="1" topLeftCell="B1" zoomScale="115" zoomScaleNormal="115" workbookViewId="0">
      <selection activeCell="D17" sqref="D17"/>
    </sheetView>
  </sheetViews>
  <sheetFormatPr defaultColWidth="8.85546875" defaultRowHeight="14.45"/>
  <cols>
    <col min="1" max="1" width="25.42578125" bestFit="1" customWidth="1"/>
    <col min="2" max="2" width="74" bestFit="1" customWidth="1"/>
    <col min="3" max="3" width="10.28515625" bestFit="1" customWidth="1"/>
    <col min="4" max="4" width="12.5703125" bestFit="1" customWidth="1"/>
    <col min="5" max="6" width="12.28515625" customWidth="1"/>
    <col min="7" max="7" width="69.42578125" customWidth="1"/>
    <col min="8" max="8" width="76" customWidth="1"/>
    <col min="9" max="9" width="83.5703125" customWidth="1"/>
    <col min="10" max="10" width="62.5703125" customWidth="1"/>
    <col min="11" max="11" width="55.85546875" customWidth="1"/>
    <col min="12" max="12" width="51" customWidth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t="s">
        <v>12</v>
      </c>
      <c r="B2" s="2" t="s">
        <v>13</v>
      </c>
      <c r="C2" s="2">
        <v>1</v>
      </c>
      <c r="D2" s="6">
        <v>51.95</v>
      </c>
      <c r="E2" s="6">
        <f>C2*D2</f>
        <v>51.95</v>
      </c>
      <c r="F2" s="6" t="s">
        <v>14</v>
      </c>
      <c r="G2" s="3" t="s">
        <v>15</v>
      </c>
      <c r="H2" s="4"/>
      <c r="I2" s="4"/>
    </row>
    <row r="3" spans="1:12" ht="15" customHeight="1">
      <c r="A3" t="s">
        <v>16</v>
      </c>
      <c r="B3" s="2" t="s">
        <v>17</v>
      </c>
      <c r="C3" s="2">
        <v>1</v>
      </c>
      <c r="D3" s="6">
        <v>5.99</v>
      </c>
      <c r="E3" s="6">
        <f t="shared" ref="E3:E18" si="0">C3*D3</f>
        <v>5.99</v>
      </c>
      <c r="F3" s="6"/>
      <c r="G3" s="3" t="s">
        <v>18</v>
      </c>
      <c r="H3" s="4"/>
    </row>
    <row r="4" spans="1:12" ht="15" customHeight="1">
      <c r="A4" t="s">
        <v>19</v>
      </c>
      <c r="B4" s="2" t="s">
        <v>20</v>
      </c>
      <c r="C4" s="2">
        <v>1</v>
      </c>
      <c r="D4" s="6">
        <v>81.94</v>
      </c>
      <c r="E4" s="6">
        <f t="shared" si="0"/>
        <v>81.94</v>
      </c>
      <c r="F4" s="6"/>
      <c r="G4" s="3" t="s">
        <v>21</v>
      </c>
      <c r="H4" s="5"/>
      <c r="I4" s="5"/>
    </row>
    <row r="5" spans="1:12" ht="15" customHeight="1">
      <c r="A5" s="2" t="s">
        <v>22</v>
      </c>
      <c r="B5" s="2" t="s">
        <v>23</v>
      </c>
      <c r="C5" s="2">
        <v>1</v>
      </c>
      <c r="D5" s="6">
        <v>0</v>
      </c>
      <c r="E5" s="6">
        <f t="shared" si="0"/>
        <v>0</v>
      </c>
      <c r="F5" s="6" t="s">
        <v>24</v>
      </c>
      <c r="G5" s="3" t="s">
        <v>25</v>
      </c>
      <c r="H5" s="3" t="s">
        <v>26</v>
      </c>
      <c r="I5" s="2" t="s">
        <v>27</v>
      </c>
    </row>
    <row r="6" spans="1:12" ht="15" customHeight="1">
      <c r="A6" s="2" t="s">
        <v>28</v>
      </c>
      <c r="B6" s="2" t="s">
        <v>29</v>
      </c>
      <c r="C6" s="2">
        <v>1</v>
      </c>
      <c r="D6" s="6">
        <v>370</v>
      </c>
      <c r="E6" s="6">
        <f t="shared" si="0"/>
        <v>370</v>
      </c>
      <c r="F6" s="6" t="s">
        <v>30</v>
      </c>
      <c r="G6" s="3" t="s">
        <v>31</v>
      </c>
      <c r="H6" s="3"/>
      <c r="I6" s="3"/>
    </row>
    <row r="7" spans="1:12" ht="15" customHeight="1">
      <c r="A7" s="2" t="s">
        <v>32</v>
      </c>
      <c r="B7" s="2" t="s">
        <v>33</v>
      </c>
      <c r="C7" s="2">
        <v>1</v>
      </c>
      <c r="D7" s="6">
        <v>5.9</v>
      </c>
      <c r="E7" s="6">
        <f t="shared" si="0"/>
        <v>5.9</v>
      </c>
      <c r="F7" s="6" t="s">
        <v>30</v>
      </c>
      <c r="G7" s="1" t="s">
        <v>34</v>
      </c>
      <c r="H7" s="3"/>
      <c r="I7" s="2"/>
    </row>
    <row r="8" spans="1:12" ht="15" customHeight="1">
      <c r="A8" s="2" t="s">
        <v>35</v>
      </c>
      <c r="B8" s="2" t="s">
        <v>36</v>
      </c>
      <c r="C8" s="2">
        <v>1</v>
      </c>
      <c r="D8" s="6">
        <v>1610</v>
      </c>
      <c r="E8" s="6">
        <f t="shared" si="0"/>
        <v>1610</v>
      </c>
      <c r="F8" s="6" t="s">
        <v>30</v>
      </c>
      <c r="G8" s="1" t="s">
        <v>37</v>
      </c>
    </row>
    <row r="9" spans="1:12" ht="15" customHeight="1">
      <c r="A9" s="2" t="s">
        <v>28</v>
      </c>
      <c r="B9" s="2" t="s">
        <v>38</v>
      </c>
      <c r="C9" s="2">
        <v>1</v>
      </c>
      <c r="D9" s="6">
        <v>405</v>
      </c>
      <c r="E9" s="6">
        <f t="shared" si="0"/>
        <v>405</v>
      </c>
      <c r="F9" s="6" t="s">
        <v>30</v>
      </c>
      <c r="G9" s="1" t="s">
        <v>39</v>
      </c>
      <c r="H9" s="5"/>
      <c r="I9" s="5"/>
    </row>
    <row r="10" spans="1:12" ht="15" customHeight="1">
      <c r="A10" s="2"/>
      <c r="B10" s="2"/>
      <c r="C10" s="2"/>
      <c r="D10" s="6"/>
      <c r="E10" s="6">
        <f t="shared" si="0"/>
        <v>0</v>
      </c>
      <c r="F10" s="6"/>
      <c r="G10" s="3"/>
      <c r="H10" s="3"/>
      <c r="I10" s="5"/>
    </row>
    <row r="11" spans="1:12" ht="15" customHeight="1">
      <c r="A11" s="2"/>
      <c r="B11" s="2"/>
      <c r="C11" s="2"/>
      <c r="D11" s="6"/>
      <c r="E11" s="6">
        <f t="shared" si="0"/>
        <v>0</v>
      </c>
      <c r="F11" s="6"/>
      <c r="G11" s="3"/>
      <c r="H11" s="5"/>
    </row>
    <row r="12" spans="1:12" ht="15" customHeight="1">
      <c r="A12" s="2"/>
      <c r="B12" s="5"/>
      <c r="C12" s="2"/>
      <c r="D12" s="6"/>
      <c r="E12" s="6">
        <f t="shared" si="0"/>
        <v>0</v>
      </c>
      <c r="F12" s="6"/>
      <c r="G12" s="3"/>
      <c r="H12" s="5"/>
    </row>
    <row r="13" spans="1:12" ht="15" customHeight="1">
      <c r="A13" s="2"/>
      <c r="B13" s="2"/>
      <c r="C13" s="2"/>
      <c r="D13" s="6"/>
      <c r="E13" s="6">
        <f t="shared" si="0"/>
        <v>0</v>
      </c>
      <c r="F13" s="6"/>
      <c r="G13" s="3"/>
    </row>
    <row r="14" spans="1:12" ht="15" customHeight="1">
      <c r="A14" s="2"/>
      <c r="B14" s="2"/>
      <c r="C14" s="2"/>
      <c r="D14" s="6"/>
      <c r="E14" s="6">
        <f t="shared" si="0"/>
        <v>0</v>
      </c>
      <c r="F14" s="6"/>
      <c r="G14" s="3"/>
      <c r="H14" s="3"/>
      <c r="I14" s="3"/>
      <c r="J14" s="3"/>
      <c r="K14" s="5"/>
      <c r="L14" s="5"/>
    </row>
    <row r="15" spans="1:12" ht="15" customHeight="1">
      <c r="A15" s="2"/>
      <c r="B15" s="2"/>
      <c r="C15" s="2"/>
      <c r="D15" s="6"/>
      <c r="E15" s="6">
        <f t="shared" si="0"/>
        <v>0</v>
      </c>
      <c r="F15" s="6"/>
      <c r="G15" s="3"/>
      <c r="H15" s="5"/>
    </row>
    <row r="16" spans="1:12" ht="15" customHeight="1">
      <c r="A16" s="2"/>
      <c r="B16" s="2"/>
      <c r="C16" s="2"/>
      <c r="D16" s="6"/>
      <c r="E16" s="6">
        <f t="shared" si="0"/>
        <v>0</v>
      </c>
      <c r="F16" s="6"/>
      <c r="G16" s="3"/>
      <c r="H16" s="5"/>
    </row>
    <row r="17" spans="1:9" ht="15" customHeight="1">
      <c r="A17" s="2"/>
      <c r="B17" s="2"/>
      <c r="C17" s="2"/>
      <c r="D17" s="6"/>
      <c r="E17" s="6">
        <f t="shared" si="0"/>
        <v>0</v>
      </c>
      <c r="F17" s="6"/>
      <c r="G17" s="3"/>
      <c r="H17" s="5"/>
    </row>
    <row r="18" spans="1:9" ht="15" customHeight="1">
      <c r="A18" s="2"/>
      <c r="B18" s="2"/>
      <c r="C18" s="2"/>
      <c r="D18" s="6"/>
      <c r="E18" s="6">
        <f t="shared" si="0"/>
        <v>0</v>
      </c>
      <c r="F18" s="6"/>
      <c r="G18" s="3"/>
      <c r="H18" s="3"/>
    </row>
    <row r="19" spans="1:9" ht="15" customHeight="1">
      <c r="A19" s="2"/>
      <c r="B19" s="2"/>
      <c r="C19" s="2"/>
      <c r="D19" s="6"/>
      <c r="E19" s="6"/>
      <c r="F19" s="6"/>
      <c r="G19" s="3"/>
      <c r="H19" s="5"/>
    </row>
    <row r="20" spans="1:9" ht="15" customHeight="1">
      <c r="A20" s="2"/>
      <c r="B20" s="2"/>
      <c r="C20" s="2"/>
      <c r="D20" s="6"/>
      <c r="E20" s="6"/>
      <c r="F20" s="6"/>
      <c r="G20" s="3"/>
      <c r="H20" s="5"/>
    </row>
    <row r="21" spans="1:9" ht="15" customHeight="1">
      <c r="A21" s="2"/>
      <c r="B21" s="2"/>
      <c r="C21" s="2"/>
      <c r="D21" s="6"/>
      <c r="E21" s="6"/>
      <c r="F21" s="6"/>
      <c r="G21" s="3"/>
      <c r="H21" s="5"/>
    </row>
    <row r="22" spans="1:9" ht="15" customHeight="1">
      <c r="A22" s="2"/>
      <c r="B22" s="2"/>
      <c r="C22" s="2"/>
      <c r="D22" s="6"/>
      <c r="E22" s="6"/>
      <c r="F22" s="6"/>
      <c r="G22" s="3"/>
      <c r="H22" s="5"/>
    </row>
    <row r="23" spans="1:9" ht="15" customHeight="1">
      <c r="A23" s="2"/>
      <c r="B23" s="2"/>
      <c r="C23" s="2"/>
      <c r="D23" s="6"/>
      <c r="E23" s="6"/>
      <c r="F23" s="6"/>
      <c r="G23" s="3"/>
      <c r="H23" s="5"/>
    </row>
    <row r="24" spans="1:9" ht="15" customHeight="1">
      <c r="A24" s="2"/>
      <c r="B24" s="2"/>
      <c r="C24" s="2"/>
      <c r="D24" s="6"/>
      <c r="E24" s="6"/>
      <c r="F24" s="6"/>
      <c r="G24" s="3"/>
      <c r="H24" s="5"/>
    </row>
    <row r="25" spans="1:9" ht="15" customHeight="1">
      <c r="A25" s="2"/>
      <c r="B25" s="2"/>
      <c r="C25" s="2"/>
      <c r="D25" s="6"/>
      <c r="E25" s="6"/>
      <c r="F25" s="6"/>
      <c r="G25" s="3"/>
      <c r="H25" s="5"/>
    </row>
    <row r="26" spans="1:9" ht="15" customHeight="1">
      <c r="A26" s="2"/>
      <c r="B26" s="2"/>
      <c r="C26" s="2"/>
      <c r="D26" s="6"/>
      <c r="E26" s="6"/>
      <c r="F26" s="6"/>
      <c r="G26" s="3"/>
      <c r="H26" s="3"/>
    </row>
    <row r="27" spans="1:9" ht="15" customHeight="1">
      <c r="A27" s="2"/>
      <c r="B27" s="2"/>
      <c r="C27" s="2"/>
      <c r="D27" s="6"/>
      <c r="E27" s="6"/>
      <c r="F27" s="6"/>
      <c r="G27" s="3"/>
      <c r="H27" s="5"/>
    </row>
    <row r="28" spans="1:9" ht="15" customHeight="1">
      <c r="A28" s="2"/>
      <c r="B28" s="2"/>
      <c r="C28" s="2"/>
      <c r="D28" s="6"/>
      <c r="E28" s="6"/>
      <c r="F28" s="6"/>
      <c r="G28" s="3"/>
      <c r="H28" s="5"/>
    </row>
    <row r="29" spans="1:9" ht="15" customHeight="1">
      <c r="A29" s="2"/>
      <c r="B29" s="2"/>
      <c r="C29" s="2"/>
      <c r="D29" s="7"/>
      <c r="E29" s="6"/>
      <c r="F29" s="6"/>
      <c r="G29" s="3"/>
      <c r="H29" s="5"/>
    </row>
    <row r="30" spans="1:9" ht="15" customHeight="1">
      <c r="A30" s="2"/>
      <c r="B30" s="5"/>
      <c r="C30" s="2"/>
      <c r="D30" s="6"/>
      <c r="E30" s="6"/>
      <c r="F30" s="6"/>
      <c r="G30" s="3"/>
      <c r="H30" s="3"/>
    </row>
    <row r="31" spans="1:9" ht="15" customHeight="1">
      <c r="A31" s="2"/>
      <c r="B31" s="2"/>
      <c r="C31" s="2"/>
      <c r="D31" s="6"/>
      <c r="E31" s="6"/>
      <c r="F31" s="6"/>
      <c r="G31" s="3"/>
      <c r="H31" s="5"/>
    </row>
    <row r="32" spans="1:9" ht="15" customHeight="1">
      <c r="A32" s="2"/>
      <c r="B32" s="2"/>
      <c r="C32" s="2"/>
      <c r="D32" s="6"/>
      <c r="E32" s="6"/>
      <c r="F32" s="6"/>
      <c r="G32" s="3"/>
      <c r="H32" s="3"/>
      <c r="I32" s="5"/>
    </row>
    <row r="33" spans="1:8" ht="15" customHeight="1">
      <c r="A33" s="2"/>
      <c r="B33" s="2"/>
      <c r="C33" s="2"/>
      <c r="D33" s="2"/>
      <c r="E33" s="2"/>
      <c r="F33" s="2"/>
      <c r="G33" s="8"/>
    </row>
    <row r="34" spans="1:8" ht="15" customHeight="1">
      <c r="A34" s="2"/>
      <c r="B34" s="2"/>
      <c r="C34" s="2"/>
      <c r="D34" s="6"/>
      <c r="E34" s="6"/>
      <c r="F34" s="6"/>
      <c r="G34" s="3"/>
      <c r="H34" s="5"/>
    </row>
    <row r="35" spans="1:8" ht="15" customHeight="1">
      <c r="A35" s="2"/>
      <c r="B35" s="5"/>
      <c r="C35" s="2"/>
      <c r="D35" s="6"/>
      <c r="E35" s="6"/>
      <c r="F35" s="6"/>
      <c r="G35" s="3"/>
      <c r="H35" s="5"/>
    </row>
    <row r="36" spans="1:8" ht="15" customHeight="1">
      <c r="A36" s="2"/>
      <c r="B36" s="2"/>
      <c r="C36" s="2"/>
      <c r="D36" s="6"/>
      <c r="E36" s="6"/>
      <c r="F36" s="6"/>
      <c r="G36" s="3"/>
      <c r="H36" s="5"/>
    </row>
    <row r="37" spans="1:8" ht="15" customHeight="1">
      <c r="A37" s="2"/>
      <c r="B37" s="2"/>
      <c r="C37" s="2"/>
      <c r="D37" s="2"/>
      <c r="E37" s="6"/>
      <c r="F37" s="6"/>
      <c r="G37" s="3"/>
    </row>
    <row r="38" spans="1:8">
      <c r="A38" s="2"/>
      <c r="B38" s="2"/>
      <c r="C38" s="2"/>
      <c r="D38" s="6"/>
      <c r="E38" s="6"/>
      <c r="F38" s="6"/>
      <c r="G38" s="1"/>
    </row>
    <row r="39" spans="1:8">
      <c r="A39" s="2"/>
      <c r="B39" s="2"/>
      <c r="C39" s="2"/>
      <c r="D39" s="2"/>
      <c r="E39" s="2"/>
      <c r="F39" s="2"/>
      <c r="G39" s="8"/>
    </row>
    <row r="40" spans="1:8">
      <c r="A40" s="2"/>
      <c r="B40" s="2"/>
      <c r="C40" s="2"/>
      <c r="D40" s="2"/>
      <c r="E40" s="2"/>
      <c r="F40" s="2"/>
      <c r="G40" s="1"/>
    </row>
    <row r="41" spans="1:8">
      <c r="A41" s="2"/>
      <c r="B41" s="2"/>
      <c r="C41" s="2"/>
      <c r="D41" s="2"/>
      <c r="G41" s="1"/>
    </row>
    <row r="42" spans="1:8">
      <c r="A42" s="2"/>
      <c r="B42" s="2"/>
      <c r="C42" s="2"/>
      <c r="D42" s="7"/>
      <c r="E42" s="6"/>
      <c r="F42" s="6"/>
      <c r="G42" s="1"/>
    </row>
    <row r="43" spans="1:8">
      <c r="D43" s="7" t="s">
        <v>40</v>
      </c>
      <c r="E43" s="6">
        <f>SUM(E3:E42)</f>
        <v>2478.83</v>
      </c>
    </row>
  </sheetData>
  <hyperlinks>
    <hyperlink ref="G6" r:id="rId1" xr:uid="{E33C014D-D38A-4F5C-8E68-C4A037C95327}"/>
    <hyperlink ref="G7" r:id="rId2" xr:uid="{DEDB84EA-1F93-4E7A-B728-715B3699A617}"/>
    <hyperlink ref="G8" r:id="rId3" xr:uid="{2B7851C3-B223-4CA7-B169-6247D278EB5E}"/>
    <hyperlink ref="G9" r:id="rId4" xr:uid="{8AE81AC0-6063-4F93-9808-8CC77409A5DB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Hancock, Dan</dc:creator>
  <cp:keywords/>
  <dc:description/>
  <cp:lastModifiedBy/>
  <cp:revision/>
  <dcterms:created xsi:type="dcterms:W3CDTF">2025-03-06T14:44:50Z</dcterms:created>
  <dcterms:modified xsi:type="dcterms:W3CDTF">2026-01-09T21:32:28Z</dcterms:modified>
  <cp:category/>
  <cp:contentStatus/>
</cp:coreProperties>
</file>