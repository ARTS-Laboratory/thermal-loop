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ahuebner_email_sc_edu/Documents/"/>
    </mc:Choice>
  </mc:AlternateContent>
  <xr:revisionPtr revIDLastSave="1" documentId="8_{EE172B0B-BA51-4B50-9976-B9CA7B39B84A}" xr6:coauthVersionLast="47" xr6:coauthVersionMax="47" xr10:uidLastSave="{AB776082-F7A5-4EB7-8DDA-9C1F6141F322}"/>
  <bookViews>
    <workbookView xWindow="-108" yWindow="-108" windowWidth="23256" windowHeight="13896" xr2:uid="{FDAE7DA4-9528-4FC7-A320-70DA50473DCE}"/>
  </bookViews>
  <sheets>
    <sheet name="BOM (from 9-26) Updated 6-3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2" l="1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67" i="2"/>
  <c r="G60" i="2"/>
  <c r="G61" i="2"/>
  <c r="G62" i="2"/>
  <c r="G63" i="2"/>
  <c r="G64" i="2"/>
  <c r="G65" i="2"/>
  <c r="G66" i="2"/>
  <c r="G68" i="2"/>
  <c r="G69" i="2"/>
  <c r="G70" i="2"/>
  <c r="G71" i="2"/>
  <c r="G48" i="2"/>
  <c r="G49" i="2"/>
  <c r="G50" i="2"/>
  <c r="G51" i="2"/>
  <c r="G52" i="2"/>
  <c r="G53" i="2"/>
  <c r="G54" i="2"/>
  <c r="G55" i="2"/>
  <c r="G56" i="2"/>
  <c r="G57" i="2"/>
  <c r="G58" i="2"/>
  <c r="G59" i="2"/>
  <c r="G32" i="2"/>
  <c r="G40" i="2"/>
  <c r="G41" i="2"/>
  <c r="G42" i="2"/>
  <c r="G43" i="2"/>
  <c r="G44" i="2"/>
  <c r="G45" i="2"/>
  <c r="G46" i="2"/>
  <c r="G47" i="2"/>
  <c r="G28" i="2"/>
  <c r="G29" i="2"/>
  <c r="G30" i="2"/>
  <c r="G31" i="2"/>
  <c r="G33" i="2"/>
  <c r="G34" i="2"/>
  <c r="G35" i="2"/>
  <c r="G36" i="2"/>
  <c r="G37" i="2"/>
  <c r="G38" i="2"/>
  <c r="G39" i="2"/>
  <c r="G25" i="2"/>
  <c r="G21" i="2"/>
  <c r="G22" i="2"/>
  <c r="G23" i="2"/>
  <c r="G24" i="2"/>
  <c r="G26" i="2"/>
  <c r="G27" i="2"/>
  <c r="G13" i="2"/>
  <c r="G14" i="2"/>
  <c r="G15" i="2"/>
  <c r="G16" i="2"/>
  <c r="G17" i="2"/>
  <c r="G18" i="2"/>
  <c r="G19" i="2"/>
  <c r="G20" i="2"/>
  <c r="G3" i="2"/>
  <c r="G4" i="2"/>
  <c r="G5" i="2"/>
  <c r="G6" i="2"/>
  <c r="G7" i="2"/>
  <c r="G8" i="2"/>
  <c r="G9" i="2"/>
  <c r="G10" i="2"/>
  <c r="G11" i="2"/>
  <c r="G12" i="2"/>
  <c r="G2" i="2"/>
</calcChain>
</file>

<file path=xl/sharedStrings.xml><?xml version="1.0" encoding="utf-8"?>
<sst xmlns="http://schemas.openxmlformats.org/spreadsheetml/2006/main" count="366" uniqueCount="244">
  <si>
    <t>Total</t>
  </si>
  <si>
    <t>Vendor</t>
  </si>
  <si>
    <t>Product</t>
  </si>
  <si>
    <t>Item #</t>
  </si>
  <si>
    <t>Price</t>
  </si>
  <si>
    <t>Quantity</t>
  </si>
  <si>
    <t>Date (Purchased or Delivered)</t>
  </si>
  <si>
    <t>Link</t>
  </si>
  <si>
    <t>MSC Industrial Supply</t>
  </si>
  <si>
    <t>Wire Duct</t>
  </si>
  <si>
    <t>https://www.mscdirect.com/product/details/92012988?rItem=92012988</t>
  </si>
  <si>
    <t>Hex Screw</t>
  </si>
  <si>
    <t>Value Collection - Hex Head Cap Screw: 5/8-11, 3" Length Under Head, Grade 2 Steel, Zinc Finish | MSC Direct</t>
  </si>
  <si>
    <t>Hex Nut</t>
  </si>
  <si>
    <t>Value Collection - Hex Nut: 5/8-11, Grade 2 Steel, Bright/Uncoated Finish | MSC Direct</t>
  </si>
  <si>
    <t>Fastenal</t>
  </si>
  <si>
    <t>1.50" x 0.75" x 6' White Lead-Free PVC Panduct® Narrow Slot Wiring Duct | Fastenal</t>
  </si>
  <si>
    <t>Grainger</t>
  </si>
  <si>
    <t>53UJ14</t>
  </si>
  <si>
    <t>1 1/2 in Nom Wd, 1.3 in Slot Ht, Wiring Duct - 53UJ14|TYD15X2NPG6 - Grainger</t>
  </si>
  <si>
    <t>53UH83</t>
  </si>
  <si>
    <t>Duct Cover</t>
  </si>
  <si>
    <t>PVC, 72 in Lg, Wiring Duct Cover - 53UH83|TYD15CPG6 - Grainger</t>
  </si>
  <si>
    <t>Threaded Flange</t>
  </si>
  <si>
    <t>4WPV1</t>
  </si>
  <si>
    <t>Flange, 304 Stainless Steel, Metal Pipe Flange - 4WPV1|4381001040 - Grainger</t>
  </si>
  <si>
    <t>Plastic Bushing</t>
  </si>
  <si>
    <t>1MKC2</t>
  </si>
  <si>
    <t>Bushing, 1 1/2 in x 3/4 in Fitting Pipe Size, Pipe Straight - 1MKC2|RB150-075 - Grainger</t>
  </si>
  <si>
    <t>Brass Tee</t>
  </si>
  <si>
    <t>13Y864</t>
  </si>
  <si>
    <t>PARKER, Tee, 3/4 in x 3/4 in x 3/4 in, Metal Pipe Tee - 13Y864|VS2225P-12 - Grainger</t>
  </si>
  <si>
    <t>Compression Fitting</t>
  </si>
  <si>
    <t>20YY84</t>
  </si>
  <si>
    <t>PARKER, 1/2 in OD x 3/4 in pipe Size, Compression x MNPT, Compression Fitting Adapter - 20YY84|8MSC12N-B - Grainger</t>
  </si>
  <si>
    <t>Ebay</t>
  </si>
  <si>
    <t>DIN Terminals</t>
  </si>
  <si>
    <t>N/A</t>
  </si>
  <si>
    <t>Control for P-Valve</t>
  </si>
  <si>
    <t>Burkert</t>
  </si>
  <si>
    <t>Dig. control electroncis for prop.valves</t>
  </si>
  <si>
    <t>PWM Control for P-Valve</t>
  </si>
  <si>
    <t>Type 8605 - PWM control electronics for electromagnetic proportional valves</t>
  </si>
  <si>
    <t>Controller Plug Connect.</t>
  </si>
  <si>
    <t>Plug connection form A</t>
  </si>
  <si>
    <t>Proportional Valve</t>
  </si>
  <si>
    <t>2/2-way-proportional valve</t>
  </si>
  <si>
    <t>Digikey</t>
  </si>
  <si>
    <t>Cable</t>
  </si>
  <si>
    <t>135-76402TS0081000-DS-ND</t>
  </si>
  <si>
    <t>76402TS 0081000 Belden Inc. | Multiple Conductor Cables | DigiKey</t>
  </si>
  <si>
    <t>cDAQ</t>
  </si>
  <si>
    <t>EBay</t>
  </si>
  <si>
    <t>N/A`</t>
  </si>
  <si>
    <t>Wire Stripper</t>
  </si>
  <si>
    <t>K604-ND</t>
  </si>
  <si>
    <t>JIC-2030 Jonard Tools | Wire Strippers and Accessories | DigiKey</t>
  </si>
  <si>
    <t>34055 Klein Tools, Inc. | Crimpers, Applicators, Presses | DigiKey</t>
  </si>
  <si>
    <t>Wire Crimper</t>
  </si>
  <si>
    <t>1742-34055-ND</t>
  </si>
  <si>
    <t>Ferrule</t>
  </si>
  <si>
    <t>288-1001-ND</t>
  </si>
  <si>
    <t>1161014 American Electrical Inc. | Terminal Block Wire Ferrules | DigiKey</t>
  </si>
  <si>
    <t>B&amp;H</t>
  </si>
  <si>
    <t>Monitor Mount</t>
  </si>
  <si>
    <t>BOUMMLW20B</t>
  </si>
  <si>
    <t>Bosch UMM-LW-20B Monitor Wall Mount (Fixed) UMM-LW-20B B&amp;H Photo</t>
  </si>
  <si>
    <t>Touch Screen Monitor</t>
  </si>
  <si>
    <t>CDW-G</t>
  </si>
  <si>
    <t>Dell P2424HT - LED monitor - 24" (23.8" viewable) - touchscreen - 1920 x 1080 Full HD (1080p) @ 60 Hz - IPS - 300 cd/m² - DELL-P2424HT - Computer Monitors - CDWG.com</t>
  </si>
  <si>
    <t xml:space="preserve">Monitor </t>
  </si>
  <si>
    <t>Dell Pro E2425HM - LED monitor - Full HD (1080p) - 24" - DELL-E2425HM - Computer Monitors - CDWG.com</t>
  </si>
  <si>
    <t>Thermocouple</t>
  </si>
  <si>
    <t>3AAA2</t>
  </si>
  <si>
    <t>TEMPCO, 32°F to 2,300°F /0°C to 1,260°C, Type K, Thermocouple Probe - 3AAA2|TTW00180 - Grainger</t>
  </si>
  <si>
    <t>5ZY28</t>
  </si>
  <si>
    <t>TEMPCO, Compression Fitting, Compression Fitting - 5ZY28|FTGR-1019 - Grainger</t>
  </si>
  <si>
    <t>NPT x MNPT</t>
  </si>
  <si>
    <t>13Y764</t>
  </si>
  <si>
    <t>PARKER, Straight, 1/2 in x 1 in, Metal Pipe Straight - 13Y764|VS209P-16-8 - Grainger</t>
  </si>
  <si>
    <t>PARKER, Straight, 1 in x 3/4 in, Metal Pipe Straight - 13Y763|VS209P-16-12 - Grainger</t>
  </si>
  <si>
    <t>MNPT x NPT</t>
  </si>
  <si>
    <t>13Y763</t>
  </si>
  <si>
    <t>Brass, 3/4 in Nominal Pipe Size, Pipe Nipple - 4DRC4|464-001X - Grainger</t>
  </si>
  <si>
    <t>NPT x NPT</t>
  </si>
  <si>
    <t>4DRC4</t>
  </si>
  <si>
    <t>Brass, 3/4 in Nominal Pipe Size, Pipe Nipple - 1VGU6|464-040 - Grainger</t>
  </si>
  <si>
    <t>1VGU6</t>
  </si>
  <si>
    <t>Nipple</t>
  </si>
  <si>
    <t>Brass, 3/4 in Nominal Pipe Size, Pipe Nipple - 1VGU2|464-030 - Grainger</t>
  </si>
  <si>
    <t>1VGU2</t>
  </si>
  <si>
    <t>90° Elbow, 3/4 in x 3/4 in, Metal Pipe Elbow - 1VER9|1VER9 - Grainger</t>
  </si>
  <si>
    <t>1VER9</t>
  </si>
  <si>
    <t>90 Elbow</t>
  </si>
  <si>
    <t>90° Elbow, 3/4 in x 1/2 in, Metal Pipe Elbow - 2CFF9|2CFF9 - Grainger</t>
  </si>
  <si>
    <t>2CFF9</t>
  </si>
  <si>
    <t>Tee, 3/4 in x 3/4 in x 3/4 in, Metal Pipe Tee - 1VEZ5|1VEZ5 - Grainger</t>
  </si>
  <si>
    <t>1VEZ5</t>
  </si>
  <si>
    <t>Tee</t>
  </si>
  <si>
    <t>Tee, 1/2 in x 1/2 in x 1/2 in, Metal Pipe Tee - 6RCZ8|6RCZ8 - Grainger</t>
  </si>
  <si>
    <t>6RCZ8</t>
  </si>
  <si>
    <t>Brass, 1/2 in Nominal Pipe Size, Pipe Nipple - 1VGR6|463-040 - Grainger</t>
  </si>
  <si>
    <t>1VGR6</t>
  </si>
  <si>
    <t>Swivel Loop, Copper-Plated Iron, Split-Ring Hanger - 22FP62|22FP62 - Grainger</t>
  </si>
  <si>
    <t>22FP62</t>
  </si>
  <si>
    <t>Copper Hanger</t>
  </si>
  <si>
    <t>Swivel Loop, Copper-Plated Iron, Split-Ring Hanger - 22FP63|22FP63 - Grainger</t>
  </si>
  <si>
    <t>22FP63</t>
  </si>
  <si>
    <t>Std Hex, 3/8"-16 Thread, Hex Nut - 1WB27|U51080.037.0001 - Grainger</t>
  </si>
  <si>
    <t>1WB27</t>
  </si>
  <si>
    <t>https://www.grainger.com/product/4RDG3?RIID=51819294775&amp;GID=729415832&amp;mid=OrderConfirmation_REST&amp;rfe=be60c264cb8af064766c979f26eae4bb472251d98b9b8ab10d9b00772ba5c4ca&amp;gucid=EMT:11126144:Item:CSM-323&amp;emcid=NA:Item</t>
  </si>
  <si>
    <t>4RDG3</t>
  </si>
  <si>
    <t>Threaded Rod</t>
  </si>
  <si>
    <t>Copper-Plated Iron, For 3/8 in Threaded Rod, Rod Hanger Plate - 22FP85|22FP85 - Grainger</t>
  </si>
  <si>
    <t>22FP85</t>
  </si>
  <si>
    <t>Copper Hanger Plate</t>
  </si>
  <si>
    <t>Union, 1/2 in x 1/2 in, Metal Pipe Straight - 6RDA5|6RDA5 - Grainger</t>
  </si>
  <si>
    <t>6RDA5</t>
  </si>
  <si>
    <t>Brass Union</t>
  </si>
  <si>
    <t>Straight, 3/4 in x 1/2 in, Metal Pipe Straight - 6RCY9|6RCY9 - Grainger</t>
  </si>
  <si>
    <t>6RCY9</t>
  </si>
  <si>
    <t>Straight Coupling</t>
  </si>
  <si>
    <t>796K77</t>
  </si>
  <si>
    <t>Clear Tubing (10ft)</t>
  </si>
  <si>
    <t>Clearbraid, PVC, Tubing - 796K77|K3150-12X10 - Grainger</t>
  </si>
  <si>
    <t>201 Stainless Steel, Lined Band, Worm Gear Hose Clamp - 1XGY9|5316 - Grainger</t>
  </si>
  <si>
    <t>1XGY9</t>
  </si>
  <si>
    <t>Hose Clamp</t>
  </si>
  <si>
    <t>DIXON VALVE &amp; COUPLING, For 3/4 in Hose I.D., Hose Barb x NPTF, Barbed Hose Fitting - 55EU91|1341212C - Grainger</t>
  </si>
  <si>
    <t>55EU91</t>
  </si>
  <si>
    <t>Barbed Hose Fitting</t>
  </si>
  <si>
    <t>For 3/4 in Hose I.D., Hose Barb x NPT, Barbed Hose Fitting - 6AFN6|6AFN6 - Grainger</t>
  </si>
  <si>
    <t>6AFN6</t>
  </si>
  <si>
    <t>#10 Size, 5/8 in Lg, Cabinet Screw - 3KUK5|KK.MET.SCR.100 - Grainger</t>
  </si>
  <si>
    <t>3KUK5</t>
  </si>
  <si>
    <t>Screws</t>
  </si>
  <si>
    <t>Swivel Loop, Electro-Galvanized Iron, Split-Ring Hanger - 22FP59|22FP59 - Grainger</t>
  </si>
  <si>
    <t>22FP59</t>
  </si>
  <si>
    <t>Hangers</t>
  </si>
  <si>
    <t>#8 Size, 1 in Lg, Wood Screw - 31JG65|U51876.016.0100 - Grainger</t>
  </si>
  <si>
    <t>31JG65</t>
  </si>
  <si>
    <t>#8 Size, 1 in Lg, Wood Screw - 31JG35|U51866.016.0100 - Grainger</t>
  </si>
  <si>
    <t>31JG35</t>
  </si>
  <si>
    <t>Electrogalvanized Cast Iron, For 3/8 in Threaded Rod, Rod Hanger Plate - 1RUZ1|365M0037EG - Grainger</t>
  </si>
  <si>
    <t>1RUZ1</t>
  </si>
  <si>
    <t>Hanger Plate</t>
  </si>
  <si>
    <t>APOLLO, 3/4 in, Bronze, Manual Two-Way Ball Valve - 48XH63|77C10401A - Grainger</t>
  </si>
  <si>
    <t>48XH63</t>
  </si>
  <si>
    <t>Ball Valve</t>
  </si>
  <si>
    <t>Flowmeter</t>
  </si>
  <si>
    <t>Omega Flow Transmitter FLR6302D | eBay</t>
  </si>
  <si>
    <t>Brass, 3/4 in Nominal Pipe Size, Pipe Nipple - 1VGT7|464-020 - Grainger</t>
  </si>
  <si>
    <t>1VGT7</t>
  </si>
  <si>
    <t>Electrogalvanized Cast Iron, For 1/2 in Threaded Rod, Plate - 4UEG9|365M0050EG - Grainger</t>
  </si>
  <si>
    <t>4UEG9</t>
  </si>
  <si>
    <t>1/2"-13 Thread Size, 2 ft Lg, Fully Threaded Rod - 10W669|U51070.050.2400 - Grainger</t>
  </si>
  <si>
    <t>10W669</t>
  </si>
  <si>
    <t>Std Hex, 1/2"-13 Thread, Hex Nut - 40TW73|U51080.050.0001 - Grainger</t>
  </si>
  <si>
    <t>40TW73</t>
  </si>
  <si>
    <t>MKT FASTENING, 1/2"-13 Thread Size, 2 in Overall Lg, Drop-In Anchor - 30PK27|1312SS6 - Grainger</t>
  </si>
  <si>
    <t>30PK27</t>
  </si>
  <si>
    <t>Drop-In Anchor</t>
  </si>
  <si>
    <t>1/2"-13 Thread Size, 3/4 in Lg, Machine Screw - 854J80|1-sfm-50c-75 - Grainger</t>
  </si>
  <si>
    <t>854J80</t>
  </si>
  <si>
    <t>Adhesive</t>
  </si>
  <si>
    <t>39F868</t>
  </si>
  <si>
    <t>J-B WELD, ClearWeld, Ambient Cured, Epoxy Adhesive - 39F868|50112 - Grainger</t>
  </si>
  <si>
    <t>PC PRODUCTS, PC-SuperEpoxy, Ambient Cured, Epoxy Adhesive - 4AUW6|016619 - Grainger</t>
  </si>
  <si>
    <t>4AUW6</t>
  </si>
  <si>
    <t>Iron, For 3/8 in Threaded Rod, Rod Hanger Plate - 22FP84|22FP84 - Grainger</t>
  </si>
  <si>
    <t>22FP84</t>
  </si>
  <si>
    <t>6AFL8</t>
  </si>
  <si>
    <t>For 3/4 in Hose I.D., Hose Barb x NPT, Barbed Hose Fitting - 6AFL8|6AFL8 - Grainger</t>
  </si>
  <si>
    <t>PARKER, Tee, 3/4 in x 3/4 in x 3/4 in, Metal Pipe Tee - 60WH38|2225P-12 - Grainger</t>
  </si>
  <si>
    <t>60WH38</t>
  </si>
  <si>
    <t>PARKER, Cross, 3/4 in x 3/4 in x 3/4 in x 3/4 in, Metal Pipe Cross - 13Y906|2205P-12 - Grainger</t>
  </si>
  <si>
    <t>13Y906</t>
  </si>
  <si>
    <t>Pipe Cross</t>
  </si>
  <si>
    <t>For 3/4 in Hose I.D., Hose Barb x NPT, Barbed Hose Fitting - 6AFP2|6AFP2 - Grainger</t>
  </si>
  <si>
    <t>6AFP2</t>
  </si>
  <si>
    <t>Swivel Loop, Electro-Galvanized Steel, Pipe Clamp - 1RVC2|454005 - Grainger</t>
  </si>
  <si>
    <t>1RVC2</t>
  </si>
  <si>
    <t>Pipe Clamp</t>
  </si>
  <si>
    <t>Swivel Loop, Electro-Galvanized Steel, Pipe Clamp - 1RVC1|454004 - Grainger</t>
  </si>
  <si>
    <t>1RVC1</t>
  </si>
  <si>
    <t>Silver, Electro Galvanized, Strut Channel Fitting - 793VU2|V717EG - Grainger</t>
  </si>
  <si>
    <t>793VU2</t>
  </si>
  <si>
    <t>Channel Fitting</t>
  </si>
  <si>
    <t>#8 Size, 3/4 in Lg, Wood Screw - 31JG34|U51866.016.0075 - Grainger</t>
  </si>
  <si>
    <t>31JG34</t>
  </si>
  <si>
    <t>3/8"-16 Thread Size, 3/8 in Bolt Size, Spring Nut - 5YE11|V200 3/8 - Grainger</t>
  </si>
  <si>
    <t>5YE11</t>
  </si>
  <si>
    <t>Spring Nut</t>
  </si>
  <si>
    <t>18-8, Stainless Steel, Flat Washer - 22UG07|U51410.037.0001 - Grainger</t>
  </si>
  <si>
    <t>22UG07</t>
  </si>
  <si>
    <t>Washer</t>
  </si>
  <si>
    <t>Stainless Steel, A2, Hex Head Cap Screw - 3AUW4|U51000.037.0100 - Grainger</t>
  </si>
  <si>
    <t>3AUW4</t>
  </si>
  <si>
    <t>PLANO MOLDING, 11 in x 7 1/4 in x 1 3/4 in, Clear, Compartment Box - 30F070|2-3600-01 - Grainger</t>
  </si>
  <si>
    <t>30F070</t>
  </si>
  <si>
    <t>Compartment Box</t>
  </si>
  <si>
    <t>#10 Size, 1 in Lg, Wood Screw - 31JG71|U51876.019.0100 - Grainger</t>
  </si>
  <si>
    <t>31JG71</t>
  </si>
  <si>
    <t>3/8"-16 Thread Size, 2 ft Lg, Fully Threaded Rod - 10W663|U51070.037.2400 - Grainger</t>
  </si>
  <si>
    <t>10W663</t>
  </si>
  <si>
    <t>Schedule 80, CPVC, Pipe Nipple - 6MX55|9861-020 - Grainger</t>
  </si>
  <si>
    <t>6MX55</t>
  </si>
  <si>
    <t>Nipple (2")</t>
  </si>
  <si>
    <t>Schedule 80, CPVC, Pipe Nipple - 6MX66|9861-106 - Grainger</t>
  </si>
  <si>
    <t>6MX66</t>
  </si>
  <si>
    <t>Nipple (3")</t>
  </si>
  <si>
    <t>1 1/2 in, Carbon Steel, Metal Pipe Flange - 30WH23|151-012-000 - Grainger</t>
  </si>
  <si>
    <t>30WH23</t>
  </si>
  <si>
    <t>Flange</t>
  </si>
  <si>
    <t>304 Stainless Steel, Schedule 40, Pipe - 782G46|T4PPH06WD - Grainger</t>
  </si>
  <si>
    <t>782G46</t>
  </si>
  <si>
    <t>304 Pipe</t>
  </si>
  <si>
    <t>1 1/2 in x 1 1/2 in, Butt Weld x Butt Weld, Metal Pipe Straight - 1RTU2|4381023840 - Grainger</t>
  </si>
  <si>
    <t>1RTU2</t>
  </si>
  <si>
    <t>Pipe Straight</t>
  </si>
  <si>
    <t>DIN Rail Mounting, Aluminum, Mounting Track - 18Z758|18Z758 - Grainger</t>
  </si>
  <si>
    <t>18Z758</t>
  </si>
  <si>
    <t>DIN Rail</t>
  </si>
  <si>
    <t>3/4 in Nominal Pipe Size, Male NPT, Pipe Nipple - 793MY3|793MY3 - Grainger</t>
  </si>
  <si>
    <t>793MY3</t>
  </si>
  <si>
    <t>3/4 in x 3/4 in, Threaded x Threaded, Metal Pipe Straight - 5P553|5P553 - Grainger</t>
  </si>
  <si>
    <t>5P553</t>
  </si>
  <si>
    <t>M12 4 Pin Connector</t>
  </si>
  <si>
    <t>M12 Female Straight 4 Pin Connector Aviation Electrical Socket Cable 2M / 5' | eBay</t>
  </si>
  <si>
    <t>Straight, 1/2 in x 1/4 in, Metal Pipe Straight - 46M483|706110-0804 - Grainger</t>
  </si>
  <si>
    <t>46M483</t>
  </si>
  <si>
    <t>Straight, 3/4 in x 1/4 in, Metal Pipe Straight - 1VFX8|1VFX8 - Grainger</t>
  </si>
  <si>
    <t>1VFX8</t>
  </si>
  <si>
    <t>Bushing</t>
  </si>
  <si>
    <t>Dwyer Omega</t>
  </si>
  <si>
    <t>Pressure Transducer</t>
  </si>
  <si>
    <t>PX159A-060G5V</t>
  </si>
  <si>
    <t>OEM Style, Compact Pressure Transmitters with Mini DIN</t>
  </si>
  <si>
    <t>Stainless Steel, A2, Hex Tap Bolt - 41UH04|U51010.050.0300 - Grainger</t>
  </si>
  <si>
    <t>41UH04</t>
  </si>
  <si>
    <t>AliExpress</t>
  </si>
  <si>
    <t>Terminal Bridges</t>
  </si>
  <si>
    <t>FBS10-5</t>
  </si>
  <si>
    <t>FBI 10-6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</si>
</sst>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sz val="11"/>
      <color rgb="FF6B7280"/>
      <name val="Arial"/>
      <family val="2"/>
    </font>
    <font>
      <sz val="11"/>
      <color rgb="FF1C1B1A"/>
      <name val="Segoe UI"/>
      <family val="2"/>
    </font>
    <font>
      <sz val="11"/>
      <color rgb="FF000000"/>
      <name val="Arial"/>
      <family val="2"/>
    </font>
    <font>
      <sz val="11"/>
      <color rgb="FF5E6A71"/>
      <name val="Arial"/>
      <family val="2"/>
    </font>
    <font>
      <sz val="11"/>
      <color rgb="FF000000"/>
      <name val="Times New Roman"/>
      <family val="1"/>
    </font>
    <font>
      <sz val="11"/>
      <color rgb="FF3A414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9"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D41DA3-7BE5-449D-9344-F261AD8E7694}" name="Table1" displayName="Table1" ref="A1:H103" totalsRowShown="0" dataDxfId="0">
  <autoFilter ref="A1:H103" xr:uid="{70D41DA3-7BE5-449D-9344-F261AD8E7694}"/>
  <tableColumns count="8">
    <tableColumn id="1" xr3:uid="{BF3C8BB6-4256-4A36-9CB9-5C3617038343}" name="Date (Purchased or Delivered)" dataDxfId="8"/>
    <tableColumn id="2" xr3:uid="{F12D00B3-E294-4B34-B269-F0F8E51B0676}" name="Vendor" dataDxfId="7"/>
    <tableColumn id="3" xr3:uid="{FE8DC357-75B5-4AD0-875A-007A90A63F2A}" name="Product" dataDxfId="6"/>
    <tableColumn id="4" xr3:uid="{29D48324-5A67-49AC-9DC5-24724248DD24}" name="Item #" dataDxfId="5"/>
    <tableColumn id="5" xr3:uid="{895AFE0B-AF27-4527-84FF-2461F3E2C714}" name="Price" dataDxfId="4"/>
    <tableColumn id="6" xr3:uid="{49B0488E-036D-4054-B045-6ACB12D91529}" name="Quantity" dataDxfId="3"/>
    <tableColumn id="7" xr3:uid="{DAA0E90D-4724-4A87-9F38-734013F984B5}" name="Total" dataDxfId="2">
      <calculatedColumnFormula>E2*F2</calculatedColumnFormula>
    </tableColumn>
    <tableColumn id="8" xr3:uid="{4A8D9D45-D940-426A-B423-D656876D2B47}" name="Link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rainger.com/product/13Y763?RIID=51819294775&amp;GID=729415832&amp;mid=OrderConfirmation_REST&amp;rfe=be60c264cb8af064766c979f26eae4bb472251d98b9b8ab10d9b00772ba5c4ca&amp;gucid=EMT:11126144:Item:CSM-323&amp;emcid=NA:Item" TargetMode="External"/><Relationship Id="rId21" Type="http://schemas.openxmlformats.org/officeDocument/2006/relationships/hyperlink" Target="https://www.cdwg.com/product/dell-pro-e2425hm-led-monitor-full-hd-1080p-24/8323512?enkwrd=8323512" TargetMode="External"/><Relationship Id="rId42" Type="http://schemas.openxmlformats.org/officeDocument/2006/relationships/hyperlink" Target="https://www.grainger.com/product/796K77?RIID=51819294775&amp;GID=729415832&amp;mid=ShipConfirmation_REST&amp;rfe=f4552f2692caa603b91b9a50ab8ce941f1aa011dbe78b4501c3d4e8d9b0476ef&amp;gucid=EMT:11127411:Item:CSM-329&amp;emcid=NA:Item-LC_Test" TargetMode="External"/><Relationship Id="rId47" Type="http://schemas.openxmlformats.org/officeDocument/2006/relationships/hyperlink" Target="https://www.grainger.com/product/22FP59?RIID=51819294775&amp;GID=729415832&amp;mid=ShipConfirmation_REST&amp;rfe=f4552f2692caa603b91b9a50ab8ce941f1aa011dbe78b4501c3d4e8d9b0476ef&amp;gucid=EMT:11127411:Item:CSM-329&amp;emcid=NA:Item-LC_Test" TargetMode="External"/><Relationship Id="rId63" Type="http://schemas.openxmlformats.org/officeDocument/2006/relationships/hyperlink" Target="https://www.grainger.com/product/60WH38?RIID=51819294775&amp;GID=729415832&amp;mid=OrderConfirmation_REST&amp;rfe=e26a9d15005b14a2115fa5cf04e2db1f77908f435ad573cd00d2c46a5d28a1da&amp;gucid=EMT:11126144:Item:CSM-323&amp;emcid=NA:Item" TargetMode="External"/><Relationship Id="rId68" Type="http://schemas.openxmlformats.org/officeDocument/2006/relationships/hyperlink" Target="https://www.grainger.com/product/793VU2?RIID=51819294775&amp;GID=729415832&amp;mid=OrderConfirmation_REST&amp;rfe=339eda075223b1db0bdb6be138010ac778453f7afa08f51021b907c8267622ac&amp;gucid=EMT:11126144:Item:CSM-323&amp;emcid=NA:Item" TargetMode="External"/><Relationship Id="rId84" Type="http://schemas.openxmlformats.org/officeDocument/2006/relationships/hyperlink" Target="https://www.ebay.com/itm/156665159304?mkevt=1&amp;mkpid=0&amp;emsid=e11401.m144671.l197929&amp;mkcid=7&amp;ch=osgood&amp;euid=a26e1d74063a472780504955de39c54a&amp;bu=45863828724&amp;osub=-1~1&amp;crd=20260413064227&amp;segname=11401" TargetMode="External"/><Relationship Id="rId89" Type="http://schemas.openxmlformats.org/officeDocument/2006/relationships/printerSettings" Target="../printerSettings/printerSettings1.bin"/><Relationship Id="rId16" Type="http://schemas.openxmlformats.org/officeDocument/2006/relationships/hyperlink" Target="https://www.digikey.com/en/products/detail/jonard-tools/JIC-2030/2308356?so=97133380&amp;content=productdetail_row&amp;mkt_tok=MDI4LVNYSy01MDcAAAGfqc74y9fVo3D_eYIHOq8qMpCiq1AQlBRoPSPgiUC8lxE_0DXY_ppdkf0PIg1Nc39i39ld1zszhIxhzi4NatLPa5Cp8OS-2CsOZqlhAV1hvQ" TargetMode="External"/><Relationship Id="rId11" Type="http://schemas.openxmlformats.org/officeDocument/2006/relationships/hyperlink" Target="https://www.burkert-usa.com/en/products/proportional-valves/controllers/316533" TargetMode="External"/><Relationship Id="rId32" Type="http://schemas.openxmlformats.org/officeDocument/2006/relationships/hyperlink" Target="https://www.grainger.com/product/1VEZ5?RIID=51819294775&amp;GID=729415832&amp;mid=OrderConfirmation_REST&amp;rfe=be60c264cb8af064766c979f26eae4bb472251d98b9b8ab10d9b00772ba5c4ca&amp;gucid=EMT:11126144:Item:CSM-323&amp;emcid=NA:Item" TargetMode="External"/><Relationship Id="rId37" Type="http://schemas.openxmlformats.org/officeDocument/2006/relationships/hyperlink" Target="https://www.grainger.com/product/1WB27?RIID=51819294775&amp;GID=729415832&amp;mid=OrderConfirmation_REST&amp;rfe=be60c264cb8af064766c979f26eae4bb472251d98b9b8ab10d9b00772ba5c4ca&amp;gucid=EMT:11126144:Item:CSM-323&amp;emcid=NA:Item" TargetMode="External"/><Relationship Id="rId53" Type="http://schemas.openxmlformats.org/officeDocument/2006/relationships/hyperlink" Target="https://www.grainger.com/product/1VGT7?RIID=51819294775&amp;GID=729415832&amp;mid=OrderConfirmation_REST&amp;rfe=846af193db4b9fe8ece7af7398118558bf0aa4ab99f90e9dc4c14e3389ebe8a4&amp;gucid=EMT:11126144:Item:CSM-323&amp;emcid=NA:Item" TargetMode="External"/><Relationship Id="rId58" Type="http://schemas.openxmlformats.org/officeDocument/2006/relationships/hyperlink" Target="https://www.grainger.com/product/854J80?RIID=51819294775&amp;GID=729415832&amp;mid=OrderConfirmation_REST&amp;rfe=846af193db4b9fe8ece7af7398118558bf0aa4ab99f90e9dc4c14e3389ebe8a4&amp;gucid=EMT:11126144:Item:CSM-323&amp;emcid=NA:Item" TargetMode="External"/><Relationship Id="rId74" Type="http://schemas.openxmlformats.org/officeDocument/2006/relationships/hyperlink" Target="https://www.grainger.com/product/31JG71?RIID=51819294775&amp;GID=729415832&amp;mid=OrderConfirmation_REST&amp;rfe=9be46b296dc7112876cd89c7aa512d9b14c9ff7a436270bdf4adc81a35dc5fc1&amp;gucid=EMT:11126144:Item:CSM-323&amp;emcid=NA:Item" TargetMode="External"/><Relationship Id="rId79" Type="http://schemas.openxmlformats.org/officeDocument/2006/relationships/hyperlink" Target="https://www.grainger.com/product/782G46?RIID=51819294775&amp;GID=729415832&amp;mid=OrderConfirmation_REST&amp;rfe=ac232cc7b935c7736f4435c50323bb59f2921ffb94961f879b251578be9b251d&amp;gucid=EMT:11126144:Item:CSM-323&amp;emcid=NA:Item" TargetMode="External"/><Relationship Id="rId5" Type="http://schemas.openxmlformats.org/officeDocument/2006/relationships/hyperlink" Target="https://www.grainger.com/product/53UJ14?RIID=51819294775&amp;GID=729415832&amp;mid=OrderConfirmation_REST&amp;rfe=62a290c53505e3dcfb30a85f2b634b55e49dc37c6d953be435f9c27577e028b8&amp;gucid=EMT:11126144:Item:CSM-323&amp;emcid=NA:Item" TargetMode="External"/><Relationship Id="rId90" Type="http://schemas.openxmlformats.org/officeDocument/2006/relationships/table" Target="../tables/table1.xml"/><Relationship Id="rId14" Type="http://schemas.openxmlformats.org/officeDocument/2006/relationships/hyperlink" Target="https://www.burkert-usa.com/en/products/proportional-valves/general-purpose-proportional-valves/164598" TargetMode="External"/><Relationship Id="rId22" Type="http://schemas.openxmlformats.org/officeDocument/2006/relationships/hyperlink" Target="https://www.bhphotovideo.com/c/product/744102-REG/Bosch_UMM_LW_20B_UMM_LW_20B_Monitor_Wall_Mount.html" TargetMode="External"/><Relationship Id="rId27" Type="http://schemas.openxmlformats.org/officeDocument/2006/relationships/hyperlink" Target="https://www.grainger.com/product/4DRC4?RIID=51819294775&amp;GID=729415832&amp;mid=OrderConfirmation_REST&amp;rfe=be60c264cb8af064766c979f26eae4bb472251d98b9b8ab10d9b00772ba5c4ca&amp;gucid=EMT:11126144:Item:CSM-323&amp;emcid=NA:Item" TargetMode="External"/><Relationship Id="rId30" Type="http://schemas.openxmlformats.org/officeDocument/2006/relationships/hyperlink" Target="https://www.grainger.com/product/1VER9?RIID=51819294775&amp;GID=729415832&amp;mid=OrderConfirmation_REST&amp;rfe=be60c264cb8af064766c979f26eae4bb472251d98b9b8ab10d9b00772ba5c4ca&amp;gucid=EMT:11126144:Item:CSM-323&amp;emcid=NA:Item" TargetMode="External"/><Relationship Id="rId35" Type="http://schemas.openxmlformats.org/officeDocument/2006/relationships/hyperlink" Target="https://www.grainger.com/product/22FP62?RIID=51819294775&amp;GID=729415832&amp;mid=OrderConfirmation_REST&amp;rfe=be60c264cb8af064766c979f26eae4bb472251d98b9b8ab10d9b00772ba5c4ca&amp;gucid=EMT:11126144:Item:CSM-323&amp;emcid=NA:Item" TargetMode="External"/><Relationship Id="rId43" Type="http://schemas.openxmlformats.org/officeDocument/2006/relationships/hyperlink" Target="https://www.grainger.com/product/1XGY9?RIID=51819294775&amp;GID=729415832&amp;mid=ShipConfirmation_REST&amp;rfe=f4552f2692caa603b91b9a50ab8ce941f1aa011dbe78b4501c3d4e8d9b0476ef&amp;gucid=EMT:11127411:Item:CSM-329&amp;emcid=NA:Item-LC_Test" TargetMode="External"/><Relationship Id="rId48" Type="http://schemas.openxmlformats.org/officeDocument/2006/relationships/hyperlink" Target="https://www.grainger.com/product/31JG65?RIID=51819294775&amp;GID=729415832&amp;mid=ShipConfirmation_REST&amp;rfe=f4552f2692caa603b91b9a50ab8ce941f1aa011dbe78b4501c3d4e8d9b0476ef&amp;gucid=EMT:11127411:Item:CSM-329&amp;emcid=NA:Item-LC_Test" TargetMode="External"/><Relationship Id="rId56" Type="http://schemas.openxmlformats.org/officeDocument/2006/relationships/hyperlink" Target="https://www.grainger.com/product/40TW73?RIID=51819294775&amp;GID=729415832&amp;mid=OrderConfirmation_REST&amp;rfe=846af193db4b9fe8ece7af7398118558bf0aa4ab99f90e9dc4c14e3389ebe8a4&amp;gucid=EMT:11126144:Item:CSM-323&amp;emcid=NA:Item" TargetMode="External"/><Relationship Id="rId64" Type="http://schemas.openxmlformats.org/officeDocument/2006/relationships/hyperlink" Target="https://www.grainger.com/product/13Y906?RIID=51819294775&amp;GID=729415832&amp;mid=OrderConfirmation_REST&amp;rfe=e26a9d15005b14a2115fa5cf04e2db1f77908f435ad573cd00d2c46a5d28a1da&amp;gucid=EMT:11126144:Item:CSM-323&amp;emcid=NA:Item" TargetMode="External"/><Relationship Id="rId69" Type="http://schemas.openxmlformats.org/officeDocument/2006/relationships/hyperlink" Target="https://www.grainger.com/product/31JG34?RIID=51819294775&amp;GID=729415832&amp;mid=OrderConfirmation_REST&amp;rfe=339eda075223b1db0bdb6be138010ac778453f7afa08f51021b907c8267622ac&amp;gucid=EMT:11126144:Item:CSM-323&amp;emcid=NA:Item" TargetMode="External"/><Relationship Id="rId77" Type="http://schemas.openxmlformats.org/officeDocument/2006/relationships/hyperlink" Target="https://www.grainger.com/product/6MX66?RIID=51819294775&amp;GID=729415832&amp;mid=OrderConfirmation_REST&amp;rfe=ac232cc7b935c7736f4435c50323bb59f2921ffb94961f879b251578be9b251d&amp;gucid=EMT:11126144:Item:CSM-323&amp;emcid=NA:Item" TargetMode="External"/><Relationship Id="rId8" Type="http://schemas.openxmlformats.org/officeDocument/2006/relationships/hyperlink" Target="https://www.grainger.com/product/1MKC2?gucid=N:N:FPL:Free:MS:CSM-1946:tew63h4:20501231&amp;gucid=N:N:PS:Paid:GGL:CSM-2295:ZRUQJH:20800606:APZ_1&amp;gclsrc=aw.ds&amp;gad_source=4&amp;gad_campaignid=22472343581&amp;gclid=Cj0KCQiAyP3KBhD9ARIsAAJLnnZV3FrrMMW30hmQUU1G4R6t9R910azLkt4b0E5gRseHoTUa98qjbrAaAtruEALw_wcB" TargetMode="External"/><Relationship Id="rId51" Type="http://schemas.openxmlformats.org/officeDocument/2006/relationships/hyperlink" Target="https://www.grainger.com/product/48XH63?RIID=51819294775&amp;GID=729415832&amp;mid=ShipConfirmation_REST&amp;rfe=f4552f2692caa603b91b9a50ab8ce941f1aa011dbe78b4501c3d4e8d9b0476ef&amp;gucid=EMT:11127411:Item:CSM-329&amp;emcid=NA:Item-LC_Test" TargetMode="External"/><Relationship Id="rId72" Type="http://schemas.openxmlformats.org/officeDocument/2006/relationships/hyperlink" Target="https://www.grainger.com/product/3AUW4?RIID=51819294775&amp;GID=729415832&amp;mid=OrderConfirmation_REST&amp;rfe=339eda075223b1db0bdb6be138010ac778453f7afa08f51021b907c8267622ac&amp;gucid=EMT:11126144:Item:CSM-323&amp;emcid=NA:Item" TargetMode="External"/><Relationship Id="rId80" Type="http://schemas.openxmlformats.org/officeDocument/2006/relationships/hyperlink" Target="https://www.grainger.com/product/1RTU2?RIID=51819294775&amp;GID=729415832&amp;mid=OrderConfirmation_REST&amp;rfe=ac232cc7b935c7736f4435c50323bb59f2921ffb94961f879b251578be9b251d&amp;gucid=EMT:11126144:Item:CSM-323&amp;emcid=NA:Item" TargetMode="External"/><Relationship Id="rId85" Type="http://schemas.openxmlformats.org/officeDocument/2006/relationships/hyperlink" Target="https://www.grainger.com/product/46M483?RIID=51819294775&amp;GID=729415832&amp;mid=OrderConfirmation_REST&amp;rfe=6d4e1d7881c4014dc580a65ce33a0287e6d4e842f558a81fadd5dcde7a752909&amp;gucid=EMT:11126144:Item:CSM-323&amp;emcid=NA:Item" TargetMode="External"/><Relationship Id="rId3" Type="http://schemas.openxmlformats.org/officeDocument/2006/relationships/hyperlink" Target="https://www.mscdirect.com/product/details/67473967?rItem=67473967" TargetMode="External"/><Relationship Id="rId12" Type="http://schemas.openxmlformats.org/officeDocument/2006/relationships/hyperlink" Target="https://www.burkert-usa.com/en/type/8605?utm_source=DataSheet-8605&amp;utm_medium=Text-Link&amp;utm_campaign=Type-Link&amp;utm_content=Typ-8605" TargetMode="External"/><Relationship Id="rId17" Type="http://schemas.openxmlformats.org/officeDocument/2006/relationships/hyperlink" Target="https://www.digikey.com/en/products/detail/klein-tools-inc/34055/24627409?so=97133380&amp;content=productdetail_row&amp;mkt_tok=MDI4LVNYSy01MDcAAAGfqc74y-LsPsvVQ5V6Hu53b7J9vpASeLmlJbJNm4ZIjBVDRhamAmNAH72cjUqWXQCpIXSkP4XcJ4H4RZ89yC3kaEsDbSqDUKqBb6zI28B0Zw" TargetMode="External"/><Relationship Id="rId25" Type="http://schemas.openxmlformats.org/officeDocument/2006/relationships/hyperlink" Target="https://www.grainger.com/product/13Y764?RIID=51819294775&amp;GID=729415832&amp;mid=OrderConfirmation_REST&amp;rfe=be60c264cb8af064766c979f26eae4bb472251d98b9b8ab10d9b00772ba5c4ca&amp;gucid=EMT:11126144:Item:CSM-323&amp;emcid=NA:Item" TargetMode="External"/><Relationship Id="rId33" Type="http://schemas.openxmlformats.org/officeDocument/2006/relationships/hyperlink" Target="https://www.grainger.com/product/6RCZ8?RIID=51819294775&amp;GID=729415832&amp;mid=OrderConfirmation_REST&amp;rfe=be60c264cb8af064766c979f26eae4bb472251d98b9b8ab10d9b00772ba5c4ca&amp;gucid=EMT:11126144:Item:CSM-323&amp;emcid=NA:Item" TargetMode="External"/><Relationship Id="rId38" Type="http://schemas.openxmlformats.org/officeDocument/2006/relationships/hyperlink" Target="https://www.grainger.com/product/4RDG3?RIID=51819294775&amp;GID=729415832&amp;mid=OrderConfirmation_REST&amp;rfe=be60c264cb8af064766c979f26eae4bb472251d98b9b8ab10d9b00772ba5c4ca&amp;gucid=EMT:11126144:Item:CSM-323&amp;emcid=NA:Item" TargetMode="External"/><Relationship Id="rId46" Type="http://schemas.openxmlformats.org/officeDocument/2006/relationships/hyperlink" Target="https://www.grainger.com/product/3KUK5?RIID=51819294775&amp;GID=729415832&amp;mid=ShipConfirmation_REST&amp;rfe=f4552f2692caa603b91b9a50ab8ce941f1aa011dbe78b4501c3d4e8d9b0476ef&amp;gucid=EMT:11127411:Item:CSM-329&amp;emcid=NA:Item-LC_Test" TargetMode="External"/><Relationship Id="rId59" Type="http://schemas.openxmlformats.org/officeDocument/2006/relationships/hyperlink" Target="https://www.grainger.com/product/39F868?RIID=51819294775&amp;GID=729415832&amp;mid=OrderConfirmation_REST&amp;rfe=44f11199fadbcf147fda723c62c47a7f8f9c1ba8a466d6b3c04e15e2f492c78d&amp;gucid=EMT:11126144:Item:CSM-323&amp;emcid=NA:Item" TargetMode="External"/><Relationship Id="rId67" Type="http://schemas.openxmlformats.org/officeDocument/2006/relationships/hyperlink" Target="https://www.grainger.com/product/1RVC1?RIID=51819294775&amp;GID=729415832&amp;mid=OrderConfirmation_REST&amp;rfe=e26a9d15005b14a2115fa5cf04e2db1f77908f435ad573cd00d2c46a5d28a1da&amp;gucid=EMT:11126144:Item:CSM-323&amp;emcid=NA:Item" TargetMode="External"/><Relationship Id="rId20" Type="http://schemas.openxmlformats.org/officeDocument/2006/relationships/hyperlink" Target="https://www.cdwg.com/product/dell-p2424ht-led-monitor-full-hd-1080p-24/7568365?enkwrd=7568365" TargetMode="External"/><Relationship Id="rId41" Type="http://schemas.openxmlformats.org/officeDocument/2006/relationships/hyperlink" Target="https://www.grainger.com/product/6RCY9?RIID=51819294775&amp;GID=729415832&amp;mid=OrderConfirmation_REST&amp;rfe=be60c264cb8af064766c979f26eae4bb472251d98b9b8ab10d9b00772ba5c4ca&amp;gucid=EMT:11126144:Item:CSM-323&amp;emcid=NA:Item" TargetMode="External"/><Relationship Id="rId54" Type="http://schemas.openxmlformats.org/officeDocument/2006/relationships/hyperlink" Target="https://www.grainger.com/product/4UEG9?RIID=51819294775&amp;GID=729415832&amp;mid=OrderConfirmation_REST&amp;rfe=846af193db4b9fe8ece7af7398118558bf0aa4ab99f90e9dc4c14e3389ebe8a4&amp;gucid=EMT:11126144:Item:CSM-323&amp;emcid=NA:Item" TargetMode="External"/><Relationship Id="rId62" Type="http://schemas.openxmlformats.org/officeDocument/2006/relationships/hyperlink" Target="https://www.grainger.com/product/6AFL8?RIID=51819294775&amp;GID=729415832&amp;mid=OrderConfirmation_REST&amp;rfe=e26a9d15005b14a2115fa5cf04e2db1f77908f435ad573cd00d2c46a5d28a1da&amp;gucid=EMT:11126144:Item:CSM-323&amp;emcid=NA:Item" TargetMode="External"/><Relationship Id="rId70" Type="http://schemas.openxmlformats.org/officeDocument/2006/relationships/hyperlink" Target="https://www.grainger.com/product/5YE11?RIID=51819294775&amp;GID=729415832&amp;mid=OrderConfirmation_REST&amp;rfe=339eda075223b1db0bdb6be138010ac778453f7afa08f51021b907c8267622ac&amp;gucid=EMT:11126144:Item:CSM-323&amp;emcid=NA:Item" TargetMode="External"/><Relationship Id="rId75" Type="http://schemas.openxmlformats.org/officeDocument/2006/relationships/hyperlink" Target="https://www.grainger.com/product/10W663?RIID=51819294775&amp;GID=729415832&amp;mid=OrderConfirmation_REST&amp;rfe=9be46b296dc7112876cd89c7aa512d9b14c9ff7a436270bdf4adc81a35dc5fc1&amp;gucid=EMT:11126144:Item:CSM-323&amp;emcid=NA:Item" TargetMode="External"/><Relationship Id="rId83" Type="http://schemas.openxmlformats.org/officeDocument/2006/relationships/hyperlink" Target="https://www.grainger.com/product/5P553?RIID=51819294775&amp;GID=729415832&amp;mid=OrderConfirmation_REST&amp;rfe=ac232cc7b935c7736f4435c50323bb59f2921ffb94961f879b251578be9b251d&amp;gucid=EMT:11126144:Item:CSM-323&amp;emcid=NA:Item" TargetMode="External"/><Relationship Id="rId88" Type="http://schemas.openxmlformats.org/officeDocument/2006/relationships/hyperlink" Target="https://www.grainger.com/product/Hex-Tap-Bolt-Stainless-Steel-41UH04?gucid=n:n:em:owned:wwg:deliveryConfirmation:apz_1&amp;emcid=body:pdpurl" TargetMode="External"/><Relationship Id="rId1" Type="http://schemas.openxmlformats.org/officeDocument/2006/relationships/hyperlink" Target="https://www.mscdirect.com/product/details/92012988?rItem=92012988" TargetMode="External"/><Relationship Id="rId6" Type="http://schemas.openxmlformats.org/officeDocument/2006/relationships/hyperlink" Target="https://www.grainger.com/product/53UH83?RIID=51819294775&amp;GID=729415832&amp;mid=OrderConfirmation_REST&amp;rfe=62a290c53505e3dcfb30a85f2b634b55e49dc37c6d953be435f9c27577e028b8&amp;gucid=EMT:11126144:Item:CSM-323&amp;emcid=NA:Item" TargetMode="External"/><Relationship Id="rId15" Type="http://schemas.openxmlformats.org/officeDocument/2006/relationships/hyperlink" Target="https://www.digikey.com/en/products/detail/belden-inc/76402TS-0081000/8121749?gclsrc=aw.ds&amp;gad_source=1&amp;gad_campaignid=17336967819&amp;gbraid=0AAAAADrbLliFYeEY1zGYMTweHRoLgpUiC&amp;gclid=CjwKCAiAvaLLBhBFEiwAYCNTf474ZmceJINd-_V3kh0Y0U7TrBMEFaYTCsHI46C9SlD8tcFBGIDj-BoCIU0QAvD_BwE" TargetMode="External"/><Relationship Id="rId23" Type="http://schemas.openxmlformats.org/officeDocument/2006/relationships/hyperlink" Target="https://www.grainger.com/product/3AAA2?RIID=51819294775&amp;GID=729415832&amp;mid=OrderConfirmation_REST&amp;rfe=be60c264cb8af064766c979f26eae4bb472251d98b9b8ab10d9b00772ba5c4ca&amp;gucid=EMT:11126144:Item:CSM-323&amp;emcid=NA:Item" TargetMode="External"/><Relationship Id="rId28" Type="http://schemas.openxmlformats.org/officeDocument/2006/relationships/hyperlink" Target="https://www.grainger.com/product/1VGU6?RIID=51819294775&amp;GID=729415832&amp;mid=OrderConfirmation_REST&amp;rfe=be60c264cb8af064766c979f26eae4bb472251d98b9b8ab10d9b00772ba5c4ca&amp;gucid=EMT:11126144:Item:CSM-323&amp;emcid=NA:Item" TargetMode="External"/><Relationship Id="rId36" Type="http://schemas.openxmlformats.org/officeDocument/2006/relationships/hyperlink" Target="https://www.grainger.com/product/22FP63?RIID=51819294775&amp;GID=729415832&amp;mid=OrderConfirmation_REST&amp;rfe=be60c264cb8af064766c979f26eae4bb472251d98b9b8ab10d9b00772ba5c4ca&amp;gucid=EMT:11126144:Item:CSM-323&amp;emcid=NA:Item" TargetMode="External"/><Relationship Id="rId49" Type="http://schemas.openxmlformats.org/officeDocument/2006/relationships/hyperlink" Target="https://www.grainger.com/product/31JG35?RIID=51819294775&amp;GID=729415832&amp;mid=ShipConfirmation_REST&amp;rfe=f4552f2692caa603b91b9a50ab8ce941f1aa011dbe78b4501c3d4e8d9b0476ef&amp;gucid=EMT:11127411:Item:CSM-329&amp;emcid=NA:Item-LC_Test" TargetMode="External"/><Relationship Id="rId57" Type="http://schemas.openxmlformats.org/officeDocument/2006/relationships/hyperlink" Target="https://www.grainger.com/product/30PK27?RIID=51819294775&amp;GID=729415832&amp;mid=OrderConfirmation_REST&amp;rfe=846af193db4b9fe8ece7af7398118558bf0aa4ab99f90e9dc4c14e3389ebe8a4&amp;gucid=EMT:11126144:Item:CSM-323&amp;emcid=NA:Item" TargetMode="External"/><Relationship Id="rId10" Type="http://schemas.openxmlformats.org/officeDocument/2006/relationships/hyperlink" Target="https://www.grainger.com/product/PARKER-Compression-Fitting-Adapter-20YY84" TargetMode="External"/><Relationship Id="rId31" Type="http://schemas.openxmlformats.org/officeDocument/2006/relationships/hyperlink" Target="https://www.grainger.com/product/2CFF9?RIID=51819294775&amp;GID=729415832&amp;mid=OrderConfirmation_REST&amp;rfe=be60c264cb8af064766c979f26eae4bb472251d98b9b8ab10d9b00772ba5c4ca&amp;gucid=EMT:11126144:Item:CSM-323&amp;emcid=NA:Item" TargetMode="External"/><Relationship Id="rId44" Type="http://schemas.openxmlformats.org/officeDocument/2006/relationships/hyperlink" Target="https://www.grainger.com/product/55EU91?RIID=51819294775&amp;GID=729415832&amp;mid=ShipConfirmation_REST&amp;rfe=f4552f2692caa603b91b9a50ab8ce941f1aa011dbe78b4501c3d4e8d9b0476ef&amp;gucid=EMT:11127411:Item:CSM-329&amp;emcid=NA:Item-LC_Test" TargetMode="External"/><Relationship Id="rId52" Type="http://schemas.openxmlformats.org/officeDocument/2006/relationships/hyperlink" Target="https://www.ebay.com/itm/166028064956?_skw=FLR7330D&amp;itmmeta=01KJG8GWDT78Z7AJAH1V586M94&amp;hash=item26a80b38bc:g:WSIAAOSwfhRkNdtN&amp;itmprp=enc%3AAQALAAAA4GfYFPkwiKCW4ZNSs2u11xC6k1jgwqOCn91%2FYMj34QJkbpaOWvcvEPuIyf%2BbKwLFv8nxLRBLlmbXQXbqQstztag9q4rzEfbIuzZwtKZ5YI8PzZL3ahcqloBiyjYO9yzR33RozoWdcCwHvywA%2FDMat7he9%2FlONk7zWHsZmSOxlEySo%2FZPKUsU3D8hUapdc3MBDNWsVvFMkgo1Jm%2Fau4RDa7cfsnVrbiWA72SjG1DpwOE2a07rpjSYp23Dumo5EhgRtL5by8jwvWV45fH4Fna7kfIe8nr%2Fa6JtefXV7l8cDNlf%7Ctkp%3ABk9SR_zHw4iUZw" TargetMode="External"/><Relationship Id="rId60" Type="http://schemas.openxmlformats.org/officeDocument/2006/relationships/hyperlink" Target="https://www.grainger.com/product/4AUW6?RIID=51819294775&amp;GID=729415832&amp;mid=OrderConfirmation_REST&amp;rfe=44f11199fadbcf147fda723c62c47a7f8f9c1ba8a466d6b3c04e15e2f492c78d&amp;gucid=EMT:11126144:Item:CSM-323&amp;emcid=NA:Item" TargetMode="External"/><Relationship Id="rId65" Type="http://schemas.openxmlformats.org/officeDocument/2006/relationships/hyperlink" Target="https://www.grainger.com/product/6AFP2?RIID=51819294775&amp;GID=729415832&amp;mid=OrderConfirmation_REST&amp;rfe=e26a9d15005b14a2115fa5cf04e2db1f77908f435ad573cd00d2c46a5d28a1da&amp;gucid=EMT:11126144:Item:CSM-323&amp;emcid=NA:Item" TargetMode="External"/><Relationship Id="rId73" Type="http://schemas.openxmlformats.org/officeDocument/2006/relationships/hyperlink" Target="https://www.grainger.com/product/30F070?RIID=51819294775&amp;GID=729415832&amp;mid=OrderConfirmation_REST&amp;rfe=9be46b296dc7112876cd89c7aa512d9b14c9ff7a436270bdf4adc81a35dc5fc1&amp;gucid=EMT:11126144:Item:CSM-323&amp;emcid=NA:Item" TargetMode="External"/><Relationship Id="rId78" Type="http://schemas.openxmlformats.org/officeDocument/2006/relationships/hyperlink" Target="https://www.grainger.com/product/30WH23?RIID=51819294775&amp;GID=729415832&amp;mid=OrderConfirmation_REST&amp;rfe=ac232cc7b935c7736f4435c50323bb59f2921ffb94961f879b251578be9b251d&amp;gucid=EMT:11126144:Item:CSM-323&amp;emcid=NA:Item" TargetMode="External"/><Relationship Id="rId81" Type="http://schemas.openxmlformats.org/officeDocument/2006/relationships/hyperlink" Target="https://www.grainger.com/product/18Z758?RIID=51819294775&amp;GID=729415832&amp;mid=OrderConfirmation_REST&amp;rfe=ac232cc7b935c7736f4435c50323bb59f2921ffb94961f879b251578be9b251d&amp;gucid=EMT:11126144:Item:CSM-323&amp;emcid=NA:Item" TargetMode="External"/><Relationship Id="rId86" Type="http://schemas.openxmlformats.org/officeDocument/2006/relationships/hyperlink" Target="https://www.grainger.com/product/1VFX8?RIID=51819294775&amp;GID=729415832&amp;mid=OrderConfirmation_REST&amp;rfe=6d4e1d7881c4014dc580a65ce33a0287e6d4e842f558a81fadd5dcde7a752909&amp;gucid=EMT:11126144:Item:CSM-323&amp;emcid=NA:Item" TargetMode="External"/><Relationship Id="rId4" Type="http://schemas.openxmlformats.org/officeDocument/2006/relationships/hyperlink" Target="https://www.fastenal.com/product/details/99176795" TargetMode="External"/><Relationship Id="rId9" Type="http://schemas.openxmlformats.org/officeDocument/2006/relationships/hyperlink" Target="https://www.grainger.com/product/PARKER-Metal-Pipe-Tee-Tee-13Y864" TargetMode="External"/><Relationship Id="rId13" Type="http://schemas.openxmlformats.org/officeDocument/2006/relationships/hyperlink" Target="https://www.burkert-usa.com/en/products/solenoid-valves/accessories/cable-plugs/314802?utm_campaign=Article-Link&amp;utm_content=314802&amp;utm_medium=Text-Link&amp;utm_source=DataSheet-2836" TargetMode="External"/><Relationship Id="rId18" Type="http://schemas.openxmlformats.org/officeDocument/2006/relationships/hyperlink" Target="https://www.digikey.com/en/products/detail/american-electrical-inc/1161014/266366?so=97133380&amp;content=productdetail_row&amp;mkt_tok=MDI4LVNYSy01MDcAAAGfqc74y_2nxjw-T57RmEQGrUX63KPY4YoEnMSjghSuuo7pkFXLLVrDjGzE1S6EwVJzLXYpMCRfqTB2XjQf-7zCw5WzPNIjIpufSD41ZSQB-A" TargetMode="External"/><Relationship Id="rId39" Type="http://schemas.openxmlformats.org/officeDocument/2006/relationships/hyperlink" Target="https://www.grainger.com/product/22FP85?RIID=51819294775&amp;GID=729415832&amp;mid=OrderConfirmation_REST&amp;rfe=be60c264cb8af064766c979f26eae4bb472251d98b9b8ab10d9b00772ba5c4ca&amp;gucid=EMT:11126144:Item:CSM-323&amp;emcid=NA:Item" TargetMode="External"/><Relationship Id="rId34" Type="http://schemas.openxmlformats.org/officeDocument/2006/relationships/hyperlink" Target="https://www.grainger.com/product/1VGR6?RIID=51819294775&amp;GID=729415832&amp;mid=OrderConfirmation_REST&amp;rfe=be60c264cb8af064766c979f26eae4bb472251d98b9b8ab10d9b00772ba5c4ca&amp;gucid=EMT:11126144:Item:CSM-323&amp;emcid=NA:Item" TargetMode="External"/><Relationship Id="rId50" Type="http://schemas.openxmlformats.org/officeDocument/2006/relationships/hyperlink" Target="https://www.grainger.com/product/1RUZ1?RIID=51819294775&amp;GID=729415832&amp;mid=ShipConfirmation_REST&amp;rfe=f4552f2692caa603b91b9a50ab8ce941f1aa011dbe78b4501c3d4e8d9b0476ef&amp;gucid=EMT:11127411:Item:CSM-329&amp;emcid=NA:Item-LC_Test" TargetMode="External"/><Relationship Id="rId55" Type="http://schemas.openxmlformats.org/officeDocument/2006/relationships/hyperlink" Target="https://www.grainger.com/product/10W669?RIID=51819294775&amp;GID=729415832&amp;mid=OrderConfirmation_REST&amp;rfe=846af193db4b9fe8ece7af7398118558bf0aa4ab99f90e9dc4c14e3389ebe8a4&amp;gucid=EMT:11126144:Item:CSM-323&amp;emcid=NA:Item" TargetMode="External"/><Relationship Id="rId76" Type="http://schemas.openxmlformats.org/officeDocument/2006/relationships/hyperlink" Target="https://www.grainger.com/product/6MX55?RIID=51819294775&amp;GID=729415832&amp;mid=OrderConfirmation_REST&amp;rfe=ac232cc7b935c7736f4435c50323bb59f2921ffb94961f879b251578be9b251d&amp;gucid=EMT:11126144:Item:CSM-323&amp;emcid=NA:Item" TargetMode="External"/><Relationship Id="rId7" Type="http://schemas.openxmlformats.org/officeDocument/2006/relationships/hyperlink" Target="https://www.grainger.com/product/Metal-Pipe-Flange-Flange-4WPV1" TargetMode="External"/><Relationship Id="rId71" Type="http://schemas.openxmlformats.org/officeDocument/2006/relationships/hyperlink" Target="https://www.grainger.com/product/22UG07?RIID=51819294775&amp;GID=729415832&amp;mid=OrderConfirmation_REST&amp;rfe=339eda075223b1db0bdb6be138010ac778453f7afa08f51021b907c8267622ac&amp;gucid=EMT:11126144:Item:CSM-323&amp;emcid=NA:Item" TargetMode="External"/><Relationship Id="rId2" Type="http://schemas.openxmlformats.org/officeDocument/2006/relationships/hyperlink" Target="https://www.mscdirect.com/product/details/67436964?rItem=67436964" TargetMode="External"/><Relationship Id="rId29" Type="http://schemas.openxmlformats.org/officeDocument/2006/relationships/hyperlink" Target="https://www.grainger.com/product/1VGU2?RIID=51819294775&amp;GID=729415832&amp;mid=OrderConfirmation_REST&amp;rfe=be60c264cb8af064766c979f26eae4bb472251d98b9b8ab10d9b00772ba5c4ca&amp;gucid=EMT:11126144:Item:CSM-323&amp;emcid=NA:Item" TargetMode="External"/><Relationship Id="rId24" Type="http://schemas.openxmlformats.org/officeDocument/2006/relationships/hyperlink" Target="https://www.grainger.com/product/5ZY28?RIID=51819294775&amp;GID=729415832&amp;mid=OrderConfirmation_REST&amp;rfe=be60c264cb8af064766c979f26eae4bb472251d98b9b8ab10d9b00772ba5c4ca&amp;gucid=EMT:11126144:Item:CSM-323&amp;emcid=NA:Item" TargetMode="External"/><Relationship Id="rId40" Type="http://schemas.openxmlformats.org/officeDocument/2006/relationships/hyperlink" Target="https://www.grainger.com/product/6RDA5?RIID=51819294775&amp;GID=729415832&amp;mid=OrderConfirmation_REST&amp;rfe=be60c264cb8af064766c979f26eae4bb472251d98b9b8ab10d9b00772ba5c4ca&amp;gucid=EMT:11126144:Item:CSM-323&amp;emcid=NA:Item" TargetMode="External"/><Relationship Id="rId45" Type="http://schemas.openxmlformats.org/officeDocument/2006/relationships/hyperlink" Target="https://www.grainger.com/product/6AFN6?RIID=51819294775&amp;GID=729415832&amp;mid=ShipConfirmation_REST&amp;rfe=f4552f2692caa603b91b9a50ab8ce941f1aa011dbe78b4501c3d4e8d9b0476ef&amp;gucid=EMT:11127411:Item:CSM-329&amp;emcid=NA:Item-LC_Test" TargetMode="External"/><Relationship Id="rId66" Type="http://schemas.openxmlformats.org/officeDocument/2006/relationships/hyperlink" Target="https://www.grainger.com/product/1RVC2?RIID=51819294775&amp;GID=729415832&amp;mid=OrderConfirmation_REST&amp;rfe=e26a9d15005b14a2115fa5cf04e2db1f77908f435ad573cd00d2c46a5d28a1da&amp;gucid=EMT:11126144:Item:CSM-323&amp;emcid=NA:Item" TargetMode="External"/><Relationship Id="rId87" Type="http://schemas.openxmlformats.org/officeDocument/2006/relationships/hyperlink" Target="https://www.dwyeromega.com/en-us/oem-style-compact-pressure-transmitters/PX119/p/PX159A-060G5V" TargetMode="External"/><Relationship Id="rId61" Type="http://schemas.openxmlformats.org/officeDocument/2006/relationships/hyperlink" Target="https://www.grainger.com/product/22FP84?RIID=51819294775&amp;GID=729415832&amp;mid=OrderConfirmation_REST&amp;rfe=44f11199fadbcf147fda723c62c47a7f8f9c1ba8a466d6b3c04e15e2f492c78d&amp;gucid=EMT:11126144:Item:CSM-323&amp;emcid=NA:Item" TargetMode="External"/><Relationship Id="rId82" Type="http://schemas.openxmlformats.org/officeDocument/2006/relationships/hyperlink" Target="https://www.grainger.com/product/793MY3?RIID=51819294775&amp;GID=729415832&amp;mid=OrderConfirmation_REST&amp;rfe=ac232cc7b935c7736f4435c50323bb59f2921ffb94961f879b251578be9b251d&amp;gucid=EMT:11126144:Item:CSM-323&amp;emcid=NA:Item" TargetMode="External"/><Relationship Id="rId19" Type="http://schemas.openxmlformats.org/officeDocument/2006/relationships/hyperlink" Target="https://www.bhphotovideo.com/c/product/744102-REG/Bosch_UMM_LW_20B_UMM_LW_20B_Monitor_Wall_Moun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9EC0-D84F-44BB-90B4-9321FBA23D7B}">
  <dimension ref="A1:H103"/>
  <sheetViews>
    <sheetView tabSelected="1" workbookViewId="0">
      <selection activeCell="E98" sqref="E98"/>
    </sheetView>
  </sheetViews>
  <sheetFormatPr defaultRowHeight="14.4" x14ac:dyDescent="0.3"/>
  <cols>
    <col min="1" max="1" width="27.77734375" customWidth="1"/>
    <col min="2" max="2" width="19.33203125" customWidth="1"/>
    <col min="3" max="3" width="21.44140625" customWidth="1"/>
    <col min="4" max="4" width="24.44140625" customWidth="1"/>
    <col min="5" max="5" width="12.5546875" customWidth="1"/>
    <col min="6" max="6" width="14.21875" customWidth="1"/>
    <col min="7" max="7" width="17.44140625" customWidth="1"/>
    <col min="8" max="8" width="69.44140625" customWidth="1"/>
  </cols>
  <sheetData>
    <row r="1" spans="1:8" x14ac:dyDescent="0.3">
      <c r="A1" t="s">
        <v>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7</v>
      </c>
    </row>
    <row r="2" spans="1:8" x14ac:dyDescent="0.3">
      <c r="A2" s="1">
        <v>45926</v>
      </c>
      <c r="B2" s="2" t="s">
        <v>8</v>
      </c>
      <c r="C2" s="2" t="s">
        <v>9</v>
      </c>
      <c r="D2" s="2">
        <v>92012988</v>
      </c>
      <c r="E2" s="2">
        <v>25.58</v>
      </c>
      <c r="F2" s="2">
        <v>1</v>
      </c>
      <c r="G2" s="2">
        <f>E2*F2</f>
        <v>25.58</v>
      </c>
      <c r="H2" s="3" t="s">
        <v>10</v>
      </c>
    </row>
    <row r="3" spans="1:8" x14ac:dyDescent="0.3">
      <c r="A3" s="1">
        <v>45926</v>
      </c>
      <c r="B3" s="2" t="s">
        <v>8</v>
      </c>
      <c r="C3" s="2" t="s">
        <v>11</v>
      </c>
      <c r="D3" s="4">
        <v>67436964</v>
      </c>
      <c r="E3" s="2">
        <v>1.71</v>
      </c>
      <c r="F3" s="2">
        <v>10</v>
      </c>
      <c r="G3" s="2">
        <f t="shared" ref="G3:G12" si="0">E3*F3</f>
        <v>17.100000000000001</v>
      </c>
      <c r="H3" s="3" t="s">
        <v>12</v>
      </c>
    </row>
    <row r="4" spans="1:8" x14ac:dyDescent="0.3">
      <c r="A4" s="1">
        <v>45926</v>
      </c>
      <c r="B4" s="2" t="s">
        <v>8</v>
      </c>
      <c r="C4" s="2" t="s">
        <v>13</v>
      </c>
      <c r="D4" s="5">
        <v>67473967</v>
      </c>
      <c r="E4" s="2">
        <v>0.47</v>
      </c>
      <c r="F4" s="2">
        <v>10</v>
      </c>
      <c r="G4" s="2">
        <f t="shared" si="0"/>
        <v>4.6999999999999993</v>
      </c>
      <c r="H4" s="3" t="s">
        <v>14</v>
      </c>
    </row>
    <row r="5" spans="1:8" ht="16.8" x14ac:dyDescent="0.4">
      <c r="A5" s="1">
        <v>45951</v>
      </c>
      <c r="B5" s="2" t="s">
        <v>15</v>
      </c>
      <c r="C5" s="2" t="s">
        <v>9</v>
      </c>
      <c r="D5" s="6">
        <v>99176795</v>
      </c>
      <c r="E5" s="2">
        <v>5.45</v>
      </c>
      <c r="F5" s="2">
        <v>6</v>
      </c>
      <c r="G5" s="2">
        <f t="shared" si="0"/>
        <v>32.700000000000003</v>
      </c>
      <c r="H5" s="3" t="s">
        <v>16</v>
      </c>
    </row>
    <row r="6" spans="1:8" x14ac:dyDescent="0.3">
      <c r="A6" s="1">
        <v>45975</v>
      </c>
      <c r="B6" s="2" t="s">
        <v>17</v>
      </c>
      <c r="C6" s="2" t="s">
        <v>9</v>
      </c>
      <c r="D6" s="7" t="s">
        <v>18</v>
      </c>
      <c r="E6" s="2">
        <v>25.94</v>
      </c>
      <c r="F6" s="2">
        <v>3</v>
      </c>
      <c r="G6" s="2">
        <f t="shared" si="0"/>
        <v>77.820000000000007</v>
      </c>
      <c r="H6" s="3" t="s">
        <v>19</v>
      </c>
    </row>
    <row r="7" spans="1:8" x14ac:dyDescent="0.3">
      <c r="A7" s="1">
        <v>45975</v>
      </c>
      <c r="B7" s="2" t="s">
        <v>17</v>
      </c>
      <c r="C7" s="2" t="s">
        <v>21</v>
      </c>
      <c r="D7" s="7" t="s">
        <v>20</v>
      </c>
      <c r="E7" s="2">
        <v>10.41</v>
      </c>
      <c r="F7" s="2">
        <v>3</v>
      </c>
      <c r="G7" s="2">
        <f t="shared" si="0"/>
        <v>31.23</v>
      </c>
      <c r="H7" s="3" t="s">
        <v>22</v>
      </c>
    </row>
    <row r="8" spans="1:8" x14ac:dyDescent="0.3">
      <c r="A8" s="1">
        <v>46028</v>
      </c>
      <c r="B8" s="2" t="s">
        <v>17</v>
      </c>
      <c r="C8" s="2" t="s">
        <v>23</v>
      </c>
      <c r="D8" s="7" t="s">
        <v>24</v>
      </c>
      <c r="E8" s="2">
        <v>93.93</v>
      </c>
      <c r="F8" s="2">
        <v>1</v>
      </c>
      <c r="G8" s="2">
        <f t="shared" si="0"/>
        <v>93.93</v>
      </c>
      <c r="H8" s="3" t="s">
        <v>25</v>
      </c>
    </row>
    <row r="9" spans="1:8" x14ac:dyDescent="0.3">
      <c r="A9" s="1">
        <v>46028</v>
      </c>
      <c r="B9" s="2" t="s">
        <v>17</v>
      </c>
      <c r="C9" s="2" t="s">
        <v>26</v>
      </c>
      <c r="D9" s="7" t="s">
        <v>27</v>
      </c>
      <c r="E9" s="2">
        <v>5.99</v>
      </c>
      <c r="F9" s="2">
        <v>1</v>
      </c>
      <c r="G9" s="2">
        <f t="shared" si="0"/>
        <v>5.99</v>
      </c>
      <c r="H9" s="3" t="s">
        <v>28</v>
      </c>
    </row>
    <row r="10" spans="1:8" x14ac:dyDescent="0.3">
      <c r="A10" s="1">
        <v>46028</v>
      </c>
      <c r="B10" s="2" t="s">
        <v>17</v>
      </c>
      <c r="C10" s="2" t="s">
        <v>29</v>
      </c>
      <c r="D10" s="7" t="s">
        <v>30</v>
      </c>
      <c r="E10" s="2">
        <v>41.22</v>
      </c>
      <c r="F10" s="2">
        <v>1</v>
      </c>
      <c r="G10" s="2">
        <f t="shared" si="0"/>
        <v>41.22</v>
      </c>
      <c r="H10" s="3" t="s">
        <v>31</v>
      </c>
    </row>
    <row r="11" spans="1:8" x14ac:dyDescent="0.3">
      <c r="A11" s="1">
        <v>46028</v>
      </c>
      <c r="B11" s="2" t="s">
        <v>17</v>
      </c>
      <c r="C11" s="2" t="s">
        <v>32</v>
      </c>
      <c r="D11" s="7" t="s">
        <v>33</v>
      </c>
      <c r="E11" s="2">
        <v>60.89</v>
      </c>
      <c r="F11" s="2">
        <v>1</v>
      </c>
      <c r="G11" s="2">
        <f t="shared" si="0"/>
        <v>60.89</v>
      </c>
      <c r="H11" s="3" t="s">
        <v>34</v>
      </c>
    </row>
    <row r="12" spans="1:8" x14ac:dyDescent="0.3">
      <c r="A12" s="1">
        <v>46029</v>
      </c>
      <c r="B12" s="2" t="s">
        <v>35</v>
      </c>
      <c r="C12" s="2" t="s">
        <v>36</v>
      </c>
      <c r="D12" s="2" t="s">
        <v>37</v>
      </c>
      <c r="E12" s="2">
        <v>27.83</v>
      </c>
      <c r="F12" s="2">
        <v>1</v>
      </c>
      <c r="G12" s="2">
        <f t="shared" si="0"/>
        <v>27.83</v>
      </c>
      <c r="H12" s="2" t="s">
        <v>37</v>
      </c>
    </row>
    <row r="13" spans="1:8" x14ac:dyDescent="0.3">
      <c r="A13" s="1">
        <v>46030</v>
      </c>
      <c r="B13" s="2" t="s">
        <v>39</v>
      </c>
      <c r="C13" s="2" t="s">
        <v>38</v>
      </c>
      <c r="D13" s="8">
        <v>316533</v>
      </c>
      <c r="E13" s="2">
        <v>370</v>
      </c>
      <c r="F13" s="2">
        <v>1</v>
      </c>
      <c r="G13" s="2">
        <f t="shared" ref="G13:G20" si="1">E13*F13</f>
        <v>370</v>
      </c>
      <c r="H13" s="3" t="s">
        <v>40</v>
      </c>
    </row>
    <row r="14" spans="1:8" x14ac:dyDescent="0.3">
      <c r="A14" s="1">
        <v>46030</v>
      </c>
      <c r="B14" s="2" t="s">
        <v>39</v>
      </c>
      <c r="C14" s="2" t="s">
        <v>41</v>
      </c>
      <c r="D14" s="9">
        <v>316530</v>
      </c>
      <c r="E14" s="2">
        <v>312</v>
      </c>
      <c r="F14" s="2">
        <v>1</v>
      </c>
      <c r="G14" s="2">
        <f t="shared" si="1"/>
        <v>312</v>
      </c>
      <c r="H14" s="3" t="s">
        <v>42</v>
      </c>
    </row>
    <row r="15" spans="1:8" x14ac:dyDescent="0.3">
      <c r="A15" s="1">
        <v>46030</v>
      </c>
      <c r="B15" s="2" t="s">
        <v>39</v>
      </c>
      <c r="C15" s="2" t="s">
        <v>43</v>
      </c>
      <c r="D15" s="8">
        <v>314802</v>
      </c>
      <c r="E15" s="2">
        <v>5.9</v>
      </c>
      <c r="F15" s="2">
        <v>1</v>
      </c>
      <c r="G15" s="2">
        <f t="shared" si="1"/>
        <v>5.9</v>
      </c>
      <c r="H15" s="3" t="s">
        <v>44</v>
      </c>
    </row>
    <row r="16" spans="1:8" x14ac:dyDescent="0.3">
      <c r="A16" s="1">
        <v>46030</v>
      </c>
      <c r="B16" s="2" t="s">
        <v>39</v>
      </c>
      <c r="C16" s="2" t="s">
        <v>45</v>
      </c>
      <c r="D16" s="8">
        <v>164598</v>
      </c>
      <c r="E16" s="2">
        <v>1610</v>
      </c>
      <c r="F16" s="2">
        <v>1</v>
      </c>
      <c r="G16" s="2">
        <f t="shared" si="1"/>
        <v>1610</v>
      </c>
      <c r="H16" s="3" t="s">
        <v>46</v>
      </c>
    </row>
    <row r="17" spans="1:8" x14ac:dyDescent="0.3">
      <c r="A17" s="1">
        <v>46037</v>
      </c>
      <c r="B17" s="2" t="s">
        <v>47</v>
      </c>
      <c r="C17" s="2" t="s">
        <v>48</v>
      </c>
      <c r="D17" s="2" t="s">
        <v>49</v>
      </c>
      <c r="E17" s="2">
        <v>3.97</v>
      </c>
      <c r="F17" s="2">
        <v>25</v>
      </c>
      <c r="G17" s="2">
        <f t="shared" si="1"/>
        <v>99.25</v>
      </c>
      <c r="H17" s="3" t="s">
        <v>50</v>
      </c>
    </row>
    <row r="18" spans="1:8" x14ac:dyDescent="0.3">
      <c r="A18" s="1">
        <v>46038</v>
      </c>
      <c r="B18" s="2" t="s">
        <v>52</v>
      </c>
      <c r="C18" s="2" t="s">
        <v>51</v>
      </c>
      <c r="D18" s="2" t="s">
        <v>53</v>
      </c>
      <c r="E18" s="2">
        <v>839.97</v>
      </c>
      <c r="F18" s="2">
        <v>1</v>
      </c>
      <c r="G18" s="2">
        <f t="shared" si="1"/>
        <v>839.97</v>
      </c>
      <c r="H18" s="2" t="s">
        <v>37</v>
      </c>
    </row>
    <row r="19" spans="1:8" x14ac:dyDescent="0.3">
      <c r="A19" s="1">
        <v>46051</v>
      </c>
      <c r="B19" s="2" t="s">
        <v>47</v>
      </c>
      <c r="C19" s="2" t="s">
        <v>54</v>
      </c>
      <c r="D19" s="2" t="s">
        <v>55</v>
      </c>
      <c r="E19" s="2">
        <v>14.02</v>
      </c>
      <c r="F19" s="2">
        <v>2</v>
      </c>
      <c r="G19" s="2">
        <f t="shared" si="1"/>
        <v>28.04</v>
      </c>
      <c r="H19" s="3" t="s">
        <v>56</v>
      </c>
    </row>
    <row r="20" spans="1:8" x14ac:dyDescent="0.3">
      <c r="A20" s="1">
        <v>46051</v>
      </c>
      <c r="B20" s="2" t="s">
        <v>47</v>
      </c>
      <c r="C20" s="2" t="s">
        <v>58</v>
      </c>
      <c r="D20" s="2" t="s">
        <v>59</v>
      </c>
      <c r="E20" s="2">
        <v>33.58</v>
      </c>
      <c r="F20" s="2">
        <v>1</v>
      </c>
      <c r="G20" s="2">
        <f t="shared" si="1"/>
        <v>33.58</v>
      </c>
      <c r="H20" s="3" t="s">
        <v>57</v>
      </c>
    </row>
    <row r="21" spans="1:8" x14ac:dyDescent="0.3">
      <c r="A21" s="1">
        <v>46051</v>
      </c>
      <c r="B21" s="2" t="s">
        <v>47</v>
      </c>
      <c r="C21" s="2" t="s">
        <v>60</v>
      </c>
      <c r="D21" s="2" t="s">
        <v>61</v>
      </c>
      <c r="E21" s="2">
        <v>0.12664</v>
      </c>
      <c r="F21" s="2">
        <v>250</v>
      </c>
      <c r="G21" s="2">
        <f t="shared" ref="G21:G27" si="2">E21*F21</f>
        <v>31.66</v>
      </c>
      <c r="H21" s="3" t="s">
        <v>62</v>
      </c>
    </row>
    <row r="22" spans="1:8" x14ac:dyDescent="0.3">
      <c r="A22" s="1">
        <v>46055</v>
      </c>
      <c r="B22" s="2" t="s">
        <v>63</v>
      </c>
      <c r="C22" s="2" t="s">
        <v>64</v>
      </c>
      <c r="D22" s="2" t="s">
        <v>65</v>
      </c>
      <c r="E22" s="2">
        <v>59</v>
      </c>
      <c r="F22" s="2">
        <v>1</v>
      </c>
      <c r="G22" s="2">
        <f t="shared" si="2"/>
        <v>59</v>
      </c>
      <c r="H22" s="3" t="s">
        <v>66</v>
      </c>
    </row>
    <row r="23" spans="1:8" x14ac:dyDescent="0.3">
      <c r="A23" s="1">
        <v>46058</v>
      </c>
      <c r="B23" s="2" t="s">
        <v>68</v>
      </c>
      <c r="C23" s="2" t="s">
        <v>67</v>
      </c>
      <c r="D23" s="4">
        <v>7568365</v>
      </c>
      <c r="E23" s="2">
        <v>341.13</v>
      </c>
      <c r="F23" s="2">
        <v>2</v>
      </c>
      <c r="G23" s="2">
        <f t="shared" si="2"/>
        <v>682.26</v>
      </c>
      <c r="H23" s="3" t="s">
        <v>69</v>
      </c>
    </row>
    <row r="24" spans="1:8" x14ac:dyDescent="0.3">
      <c r="A24" s="1">
        <v>46058</v>
      </c>
      <c r="B24" s="2" t="s">
        <v>68</v>
      </c>
      <c r="C24" s="2" t="s">
        <v>70</v>
      </c>
      <c r="D24" s="2">
        <v>8323512</v>
      </c>
      <c r="E24" s="2">
        <v>108.02</v>
      </c>
      <c r="F24" s="2">
        <v>2</v>
      </c>
      <c r="G24" s="2">
        <f t="shared" si="2"/>
        <v>216.04</v>
      </c>
      <c r="H24" s="3" t="s">
        <v>71</v>
      </c>
    </row>
    <row r="25" spans="1:8" x14ac:dyDescent="0.3">
      <c r="A25" s="1">
        <v>46070</v>
      </c>
      <c r="B25" s="2" t="s">
        <v>63</v>
      </c>
      <c r="C25" s="2" t="s">
        <v>64</v>
      </c>
      <c r="D25" s="2" t="s">
        <v>65</v>
      </c>
      <c r="E25" s="2">
        <v>59</v>
      </c>
      <c r="F25" s="2">
        <v>5</v>
      </c>
      <c r="G25" s="2">
        <f t="shared" ref="G25" si="3">E25*F25</f>
        <v>295</v>
      </c>
      <c r="H25" s="3" t="s">
        <v>66</v>
      </c>
    </row>
    <row r="26" spans="1:8" x14ac:dyDescent="0.3">
      <c r="A26" s="1">
        <v>46075</v>
      </c>
      <c r="B26" s="2" t="s">
        <v>17</v>
      </c>
      <c r="C26" s="2" t="s">
        <v>72</v>
      </c>
      <c r="D26" s="2" t="s">
        <v>73</v>
      </c>
      <c r="E26" s="2">
        <v>20.99</v>
      </c>
      <c r="F26" s="2">
        <v>4</v>
      </c>
      <c r="G26" s="2">
        <f t="shared" si="2"/>
        <v>83.96</v>
      </c>
      <c r="H26" s="3" t="s">
        <v>74</v>
      </c>
    </row>
    <row r="27" spans="1:8" x14ac:dyDescent="0.3">
      <c r="A27" s="1">
        <v>46075</v>
      </c>
      <c r="B27" s="2" t="s">
        <v>17</v>
      </c>
      <c r="C27" s="2" t="s">
        <v>32</v>
      </c>
      <c r="D27" s="7" t="s">
        <v>75</v>
      </c>
      <c r="E27" s="2">
        <v>7.46</v>
      </c>
      <c r="F27" s="2">
        <v>4</v>
      </c>
      <c r="G27" s="2">
        <f t="shared" si="2"/>
        <v>29.84</v>
      </c>
      <c r="H27" s="3" t="s">
        <v>76</v>
      </c>
    </row>
    <row r="28" spans="1:8" x14ac:dyDescent="0.3">
      <c r="A28" s="1">
        <v>46075</v>
      </c>
      <c r="B28" s="2" t="s">
        <v>17</v>
      </c>
      <c r="C28" s="2" t="s">
        <v>77</v>
      </c>
      <c r="D28" s="7" t="s">
        <v>78</v>
      </c>
      <c r="E28" s="2">
        <v>13.23</v>
      </c>
      <c r="F28" s="2">
        <v>4</v>
      </c>
      <c r="G28" s="2">
        <f t="shared" ref="G28:G39" si="4">E28*F28</f>
        <v>52.92</v>
      </c>
      <c r="H28" s="3" t="s">
        <v>79</v>
      </c>
    </row>
    <row r="29" spans="1:8" x14ac:dyDescent="0.3">
      <c r="A29" s="1">
        <v>46075</v>
      </c>
      <c r="B29" s="2" t="s">
        <v>17</v>
      </c>
      <c r="C29" s="2" t="s">
        <v>81</v>
      </c>
      <c r="D29" s="2" t="s">
        <v>82</v>
      </c>
      <c r="E29" s="2">
        <v>12.78</v>
      </c>
      <c r="F29" s="2">
        <v>4</v>
      </c>
      <c r="G29" s="2">
        <f t="shared" si="4"/>
        <v>51.12</v>
      </c>
      <c r="H29" s="3" t="s">
        <v>80</v>
      </c>
    </row>
    <row r="30" spans="1:8" x14ac:dyDescent="0.3">
      <c r="A30" s="1">
        <v>46075</v>
      </c>
      <c r="B30" s="2" t="s">
        <v>17</v>
      </c>
      <c r="C30" s="2" t="s">
        <v>84</v>
      </c>
      <c r="D30" s="7" t="s">
        <v>85</v>
      </c>
      <c r="E30" s="2">
        <v>9.99</v>
      </c>
      <c r="F30" s="2">
        <v>4</v>
      </c>
      <c r="G30" s="2">
        <f t="shared" si="4"/>
        <v>39.96</v>
      </c>
      <c r="H30" s="3" t="s">
        <v>83</v>
      </c>
    </row>
    <row r="31" spans="1:8" x14ac:dyDescent="0.3">
      <c r="A31" s="1">
        <v>46075</v>
      </c>
      <c r="B31" s="2" t="s">
        <v>17</v>
      </c>
      <c r="C31" s="2" t="s">
        <v>88</v>
      </c>
      <c r="D31" s="7" t="s">
        <v>87</v>
      </c>
      <c r="E31" s="2">
        <v>22.34</v>
      </c>
      <c r="F31" s="2">
        <v>4</v>
      </c>
      <c r="G31" s="2">
        <f t="shared" si="4"/>
        <v>89.36</v>
      </c>
      <c r="H31" s="3" t="s">
        <v>86</v>
      </c>
    </row>
    <row r="32" spans="1:8" x14ac:dyDescent="0.3">
      <c r="A32" s="1">
        <v>46075</v>
      </c>
      <c r="B32" s="2" t="s">
        <v>17</v>
      </c>
      <c r="C32" s="2" t="s">
        <v>88</v>
      </c>
      <c r="D32" s="7" t="s">
        <v>90</v>
      </c>
      <c r="E32" s="2">
        <v>16.89</v>
      </c>
      <c r="F32" s="2">
        <v>4</v>
      </c>
      <c r="G32" s="2">
        <f>Table1[[#This Row],[Price]]*F32</f>
        <v>67.56</v>
      </c>
      <c r="H32" s="3" t="s">
        <v>89</v>
      </c>
    </row>
    <row r="33" spans="1:8" x14ac:dyDescent="0.3">
      <c r="A33" s="1">
        <v>46075</v>
      </c>
      <c r="B33" s="2" t="s">
        <v>17</v>
      </c>
      <c r="C33" s="2" t="s">
        <v>93</v>
      </c>
      <c r="D33" s="7" t="s">
        <v>92</v>
      </c>
      <c r="E33" s="2">
        <v>21.79</v>
      </c>
      <c r="F33" s="2">
        <v>2</v>
      </c>
      <c r="G33" s="2">
        <f>E32*F33</f>
        <v>33.78</v>
      </c>
      <c r="H33" s="3" t="s">
        <v>91</v>
      </c>
    </row>
    <row r="34" spans="1:8" x14ac:dyDescent="0.3">
      <c r="A34" s="1">
        <v>46075</v>
      </c>
      <c r="B34" s="2" t="s">
        <v>17</v>
      </c>
      <c r="C34" s="2" t="s">
        <v>93</v>
      </c>
      <c r="D34" s="7" t="s">
        <v>95</v>
      </c>
      <c r="E34" s="2">
        <v>19.86</v>
      </c>
      <c r="F34" s="2">
        <v>2</v>
      </c>
      <c r="G34" s="2">
        <f t="shared" si="4"/>
        <v>39.72</v>
      </c>
      <c r="H34" s="3" t="s">
        <v>94</v>
      </c>
    </row>
    <row r="35" spans="1:8" x14ac:dyDescent="0.3">
      <c r="A35" s="1">
        <v>46075</v>
      </c>
      <c r="B35" s="2" t="s">
        <v>17</v>
      </c>
      <c r="C35" s="2" t="s">
        <v>98</v>
      </c>
      <c r="D35" s="7" t="s">
        <v>97</v>
      </c>
      <c r="E35" s="2">
        <v>36.979999999999997</v>
      </c>
      <c r="F35" s="2">
        <v>1</v>
      </c>
      <c r="G35" s="2">
        <f t="shared" si="4"/>
        <v>36.979999999999997</v>
      </c>
      <c r="H35" s="3" t="s">
        <v>96</v>
      </c>
    </row>
    <row r="36" spans="1:8" x14ac:dyDescent="0.3">
      <c r="A36" s="1">
        <v>46075</v>
      </c>
      <c r="B36" s="2" t="s">
        <v>17</v>
      </c>
      <c r="C36" s="2" t="s">
        <v>98</v>
      </c>
      <c r="D36" s="7" t="s">
        <v>100</v>
      </c>
      <c r="E36" s="2">
        <v>26.2</v>
      </c>
      <c r="F36" s="2">
        <v>1</v>
      </c>
      <c r="G36" s="2">
        <f t="shared" si="4"/>
        <v>26.2</v>
      </c>
      <c r="H36" s="3" t="s">
        <v>99</v>
      </c>
    </row>
    <row r="37" spans="1:8" x14ac:dyDescent="0.3">
      <c r="A37" s="1">
        <v>46075</v>
      </c>
      <c r="B37" s="2" t="s">
        <v>17</v>
      </c>
      <c r="C37" s="2" t="s">
        <v>88</v>
      </c>
      <c r="D37" s="7" t="s">
        <v>102</v>
      </c>
      <c r="E37" s="2">
        <v>19.22</v>
      </c>
      <c r="F37" s="2">
        <v>4</v>
      </c>
      <c r="G37" s="2">
        <f t="shared" si="4"/>
        <v>76.88</v>
      </c>
      <c r="H37" s="3" t="s">
        <v>101</v>
      </c>
    </row>
    <row r="38" spans="1:8" x14ac:dyDescent="0.3">
      <c r="A38" s="1">
        <v>46075</v>
      </c>
      <c r="B38" s="2" t="s">
        <v>17</v>
      </c>
      <c r="C38" s="2" t="s">
        <v>105</v>
      </c>
      <c r="D38" s="7" t="s">
        <v>104</v>
      </c>
      <c r="E38" s="2">
        <v>2.48</v>
      </c>
      <c r="F38" s="2">
        <v>6</v>
      </c>
      <c r="G38" s="2">
        <f t="shared" si="4"/>
        <v>14.879999999999999</v>
      </c>
      <c r="H38" s="3" t="s">
        <v>103</v>
      </c>
    </row>
    <row r="39" spans="1:8" x14ac:dyDescent="0.3">
      <c r="A39" s="1">
        <v>46075</v>
      </c>
      <c r="B39" s="2" t="s">
        <v>17</v>
      </c>
      <c r="C39" s="2" t="s">
        <v>105</v>
      </c>
      <c r="D39" s="7" t="s">
        <v>107</v>
      </c>
      <c r="E39" s="2">
        <v>3.21</v>
      </c>
      <c r="F39" s="2">
        <v>6</v>
      </c>
      <c r="G39" s="2">
        <f t="shared" si="4"/>
        <v>19.259999999999998</v>
      </c>
      <c r="H39" s="3" t="s">
        <v>106</v>
      </c>
    </row>
    <row r="40" spans="1:8" x14ac:dyDescent="0.3">
      <c r="A40" s="1">
        <v>46075</v>
      </c>
      <c r="B40" s="2" t="s">
        <v>17</v>
      </c>
      <c r="C40" s="2" t="s">
        <v>13</v>
      </c>
      <c r="D40" s="7" t="s">
        <v>109</v>
      </c>
      <c r="E40" s="2">
        <v>16.010000000000002</v>
      </c>
      <c r="F40" s="2">
        <v>1</v>
      </c>
      <c r="G40" s="2">
        <f t="shared" ref="G40:G47" si="5">E40*F40</f>
        <v>16.010000000000002</v>
      </c>
      <c r="H40" s="3" t="s">
        <v>108</v>
      </c>
    </row>
    <row r="41" spans="1:8" x14ac:dyDescent="0.3">
      <c r="A41" s="1">
        <v>46075</v>
      </c>
      <c r="B41" s="2" t="s">
        <v>17</v>
      </c>
      <c r="C41" s="2" t="s">
        <v>112</v>
      </c>
      <c r="D41" s="7" t="s">
        <v>111</v>
      </c>
      <c r="E41" s="2">
        <v>7.55</v>
      </c>
      <c r="F41" s="2">
        <v>3</v>
      </c>
      <c r="G41" s="2">
        <f t="shared" si="5"/>
        <v>22.65</v>
      </c>
      <c r="H41" s="3" t="s">
        <v>110</v>
      </c>
    </row>
    <row r="42" spans="1:8" x14ac:dyDescent="0.3">
      <c r="A42" s="1">
        <v>46075</v>
      </c>
      <c r="B42" s="2" t="s">
        <v>17</v>
      </c>
      <c r="C42" s="2" t="s">
        <v>115</v>
      </c>
      <c r="D42" s="7" t="s">
        <v>114</v>
      </c>
      <c r="E42" s="2">
        <v>3.55</v>
      </c>
      <c r="F42" s="2">
        <v>12</v>
      </c>
      <c r="G42" s="2">
        <f t="shared" si="5"/>
        <v>42.599999999999994</v>
      </c>
      <c r="H42" s="3" t="s">
        <v>113</v>
      </c>
    </row>
    <row r="43" spans="1:8" x14ac:dyDescent="0.3">
      <c r="A43" s="1">
        <v>46075</v>
      </c>
      <c r="B43" s="2" t="s">
        <v>17</v>
      </c>
      <c r="C43" s="2" t="s">
        <v>118</v>
      </c>
      <c r="D43" s="7" t="s">
        <v>117</v>
      </c>
      <c r="E43" s="2">
        <v>50.51</v>
      </c>
      <c r="F43" s="2">
        <v>1</v>
      </c>
      <c r="G43" s="2">
        <f t="shared" si="5"/>
        <v>50.51</v>
      </c>
      <c r="H43" s="3" t="s">
        <v>116</v>
      </c>
    </row>
    <row r="44" spans="1:8" x14ac:dyDescent="0.3">
      <c r="A44" s="1">
        <v>46075</v>
      </c>
      <c r="B44" s="2" t="s">
        <v>17</v>
      </c>
      <c r="C44" s="2" t="s">
        <v>121</v>
      </c>
      <c r="D44" s="7" t="s">
        <v>120</v>
      </c>
      <c r="E44" s="2">
        <v>24.17</v>
      </c>
      <c r="F44" s="2">
        <v>1</v>
      </c>
      <c r="G44" s="2">
        <f t="shared" si="5"/>
        <v>24.17</v>
      </c>
      <c r="H44" s="3" t="s">
        <v>119</v>
      </c>
    </row>
    <row r="45" spans="1:8" x14ac:dyDescent="0.3">
      <c r="A45" s="1">
        <v>46078</v>
      </c>
      <c r="B45" s="2" t="s">
        <v>17</v>
      </c>
      <c r="C45" s="2" t="s">
        <v>123</v>
      </c>
      <c r="D45" s="7" t="s">
        <v>122</v>
      </c>
      <c r="E45" s="2">
        <v>26.01</v>
      </c>
      <c r="F45" s="2">
        <v>1</v>
      </c>
      <c r="G45" s="2">
        <f t="shared" si="5"/>
        <v>26.01</v>
      </c>
      <c r="H45" s="3" t="s">
        <v>124</v>
      </c>
    </row>
    <row r="46" spans="1:8" x14ac:dyDescent="0.3">
      <c r="A46" s="1">
        <v>46078</v>
      </c>
      <c r="B46" s="2" t="s">
        <v>17</v>
      </c>
      <c r="C46" s="2" t="s">
        <v>127</v>
      </c>
      <c r="D46" s="7" t="s">
        <v>126</v>
      </c>
      <c r="E46" s="2">
        <v>16.82</v>
      </c>
      <c r="F46" s="2">
        <v>1</v>
      </c>
      <c r="G46" s="2">
        <f t="shared" si="5"/>
        <v>16.82</v>
      </c>
      <c r="H46" s="3" t="s">
        <v>125</v>
      </c>
    </row>
    <row r="47" spans="1:8" x14ac:dyDescent="0.3">
      <c r="A47" s="1">
        <v>46078</v>
      </c>
      <c r="B47" s="2" t="s">
        <v>17</v>
      </c>
      <c r="C47" s="2" t="s">
        <v>130</v>
      </c>
      <c r="D47" s="7" t="s">
        <v>129</v>
      </c>
      <c r="E47" s="2">
        <v>25.17</v>
      </c>
      <c r="F47" s="2">
        <v>2</v>
      </c>
      <c r="G47" s="2">
        <f t="shared" si="5"/>
        <v>50.34</v>
      </c>
      <c r="H47" s="3" t="s">
        <v>128</v>
      </c>
    </row>
    <row r="48" spans="1:8" x14ac:dyDescent="0.3">
      <c r="A48" s="1">
        <v>46078</v>
      </c>
      <c r="B48" s="2" t="s">
        <v>17</v>
      </c>
      <c r="C48" s="2" t="s">
        <v>130</v>
      </c>
      <c r="D48" s="7" t="s">
        <v>132</v>
      </c>
      <c r="E48" s="2">
        <v>12.5</v>
      </c>
      <c r="F48" s="2">
        <v>2</v>
      </c>
      <c r="G48" s="2">
        <f t="shared" ref="G48:G59" si="6">E48*F48</f>
        <v>25</v>
      </c>
      <c r="H48" s="3" t="s">
        <v>131</v>
      </c>
    </row>
    <row r="49" spans="1:8" x14ac:dyDescent="0.3">
      <c r="A49" s="1">
        <v>46078</v>
      </c>
      <c r="B49" s="2" t="s">
        <v>17</v>
      </c>
      <c r="C49" s="2" t="s">
        <v>135</v>
      </c>
      <c r="D49" s="7" t="s">
        <v>134</v>
      </c>
      <c r="E49" s="2">
        <v>28.56</v>
      </c>
      <c r="F49" s="2">
        <v>1</v>
      </c>
      <c r="G49" s="2">
        <f t="shared" si="6"/>
        <v>28.56</v>
      </c>
      <c r="H49" s="3" t="s">
        <v>133</v>
      </c>
    </row>
    <row r="50" spans="1:8" x14ac:dyDescent="0.3">
      <c r="A50" s="1">
        <v>46078</v>
      </c>
      <c r="B50" s="2" t="s">
        <v>17</v>
      </c>
      <c r="C50" s="2" t="s">
        <v>138</v>
      </c>
      <c r="D50" s="7" t="s">
        <v>137</v>
      </c>
      <c r="E50" s="2">
        <v>3.35</v>
      </c>
      <c r="F50" s="2">
        <v>5</v>
      </c>
      <c r="G50" s="2">
        <f t="shared" si="6"/>
        <v>16.75</v>
      </c>
      <c r="H50" s="3" t="s">
        <v>136</v>
      </c>
    </row>
    <row r="51" spans="1:8" x14ac:dyDescent="0.3">
      <c r="A51" s="1">
        <v>46078</v>
      </c>
      <c r="B51" s="2" t="s">
        <v>17</v>
      </c>
      <c r="C51" s="2" t="s">
        <v>135</v>
      </c>
      <c r="D51" s="7" t="s">
        <v>140</v>
      </c>
      <c r="E51" s="2">
        <v>14.81</v>
      </c>
      <c r="F51" s="2">
        <v>1</v>
      </c>
      <c r="G51" s="2">
        <f t="shared" si="6"/>
        <v>14.81</v>
      </c>
      <c r="H51" s="3" t="s">
        <v>139</v>
      </c>
    </row>
    <row r="52" spans="1:8" x14ac:dyDescent="0.3">
      <c r="A52" s="1">
        <v>46078</v>
      </c>
      <c r="B52" s="2" t="s">
        <v>17</v>
      </c>
      <c r="C52" s="2" t="s">
        <v>135</v>
      </c>
      <c r="D52" s="7" t="s">
        <v>142</v>
      </c>
      <c r="E52" s="2">
        <v>19.989999999999998</v>
      </c>
      <c r="F52" s="2">
        <v>1</v>
      </c>
      <c r="G52" s="2">
        <f t="shared" si="6"/>
        <v>19.989999999999998</v>
      </c>
      <c r="H52" s="3" t="s">
        <v>141</v>
      </c>
    </row>
    <row r="53" spans="1:8" x14ac:dyDescent="0.3">
      <c r="A53" s="1">
        <v>46078</v>
      </c>
      <c r="B53" s="2" t="s">
        <v>17</v>
      </c>
      <c r="C53" s="2" t="s">
        <v>145</v>
      </c>
      <c r="D53" s="7" t="s">
        <v>144</v>
      </c>
      <c r="E53" s="2">
        <v>5.36</v>
      </c>
      <c r="F53" s="2">
        <v>5</v>
      </c>
      <c r="G53" s="2">
        <f t="shared" si="6"/>
        <v>26.8</v>
      </c>
      <c r="H53" s="3" t="s">
        <v>143</v>
      </c>
    </row>
    <row r="54" spans="1:8" x14ac:dyDescent="0.3">
      <c r="A54" s="1">
        <v>46078</v>
      </c>
      <c r="B54" s="2" t="s">
        <v>17</v>
      </c>
      <c r="C54" s="2" t="s">
        <v>148</v>
      </c>
      <c r="D54" s="7" t="s">
        <v>147</v>
      </c>
      <c r="E54" s="2">
        <v>40.14</v>
      </c>
      <c r="F54" s="2">
        <v>1</v>
      </c>
      <c r="G54" s="2">
        <f t="shared" si="6"/>
        <v>40.14</v>
      </c>
      <c r="H54" s="3" t="s">
        <v>146</v>
      </c>
    </row>
    <row r="55" spans="1:8" x14ac:dyDescent="0.3">
      <c r="A55" s="1">
        <v>46080</v>
      </c>
      <c r="B55" s="2" t="s">
        <v>35</v>
      </c>
      <c r="C55" s="2" t="s">
        <v>149</v>
      </c>
      <c r="D55" s="2" t="s">
        <v>37</v>
      </c>
      <c r="E55" s="2">
        <v>300</v>
      </c>
      <c r="F55" s="2">
        <v>1</v>
      </c>
      <c r="G55" s="2">
        <f t="shared" si="6"/>
        <v>300</v>
      </c>
      <c r="H55" s="3" t="s">
        <v>150</v>
      </c>
    </row>
    <row r="56" spans="1:8" x14ac:dyDescent="0.3">
      <c r="A56" s="1">
        <v>46084</v>
      </c>
      <c r="B56" s="2" t="s">
        <v>17</v>
      </c>
      <c r="C56" s="2" t="s">
        <v>88</v>
      </c>
      <c r="D56" s="7" t="s">
        <v>152</v>
      </c>
      <c r="E56" s="2">
        <v>11.53</v>
      </c>
      <c r="F56" s="2">
        <v>6</v>
      </c>
      <c r="G56" s="2">
        <f t="shared" si="6"/>
        <v>69.179999999999993</v>
      </c>
      <c r="H56" s="3" t="s">
        <v>151</v>
      </c>
    </row>
    <row r="57" spans="1:8" x14ac:dyDescent="0.3">
      <c r="A57" s="1">
        <v>46084</v>
      </c>
      <c r="B57" s="2" t="s">
        <v>17</v>
      </c>
      <c r="C57" s="2" t="s">
        <v>145</v>
      </c>
      <c r="D57" s="7" t="s">
        <v>154</v>
      </c>
      <c r="E57" s="2">
        <v>4.75</v>
      </c>
      <c r="F57" s="2">
        <v>2</v>
      </c>
      <c r="G57" s="2">
        <f t="shared" si="6"/>
        <v>9.5</v>
      </c>
      <c r="H57" s="3" t="s">
        <v>153</v>
      </c>
    </row>
    <row r="58" spans="1:8" x14ac:dyDescent="0.3">
      <c r="A58" s="1">
        <v>46084</v>
      </c>
      <c r="B58" s="2" t="s">
        <v>17</v>
      </c>
      <c r="C58" s="2" t="s">
        <v>112</v>
      </c>
      <c r="D58" s="7" t="s">
        <v>156</v>
      </c>
      <c r="E58" s="2">
        <v>5.41</v>
      </c>
      <c r="F58" s="2">
        <v>1</v>
      </c>
      <c r="G58" s="2">
        <f t="shared" si="6"/>
        <v>5.41</v>
      </c>
      <c r="H58" s="3" t="s">
        <v>155</v>
      </c>
    </row>
    <row r="59" spans="1:8" x14ac:dyDescent="0.3">
      <c r="A59" s="1">
        <v>46084</v>
      </c>
      <c r="B59" s="2" t="s">
        <v>17</v>
      </c>
      <c r="C59" s="2" t="s">
        <v>13</v>
      </c>
      <c r="D59" s="7" t="s">
        <v>158</v>
      </c>
      <c r="E59" s="2">
        <v>9.0299999999999994</v>
      </c>
      <c r="F59" s="2">
        <v>1</v>
      </c>
      <c r="G59" s="2">
        <f t="shared" si="6"/>
        <v>9.0299999999999994</v>
      </c>
      <c r="H59" s="3" t="s">
        <v>157</v>
      </c>
    </row>
    <row r="60" spans="1:8" x14ac:dyDescent="0.3">
      <c r="A60" s="1">
        <v>46084</v>
      </c>
      <c r="B60" s="2" t="s">
        <v>17</v>
      </c>
      <c r="C60" s="2" t="s">
        <v>161</v>
      </c>
      <c r="D60" s="7" t="s">
        <v>160</v>
      </c>
      <c r="E60" s="2">
        <v>16.87</v>
      </c>
      <c r="F60" s="2">
        <v>1</v>
      </c>
      <c r="G60" s="2">
        <f t="shared" ref="G60:G71" si="7">E60*F60</f>
        <v>16.87</v>
      </c>
      <c r="H60" s="3" t="s">
        <v>159</v>
      </c>
    </row>
    <row r="61" spans="1:8" x14ac:dyDescent="0.3">
      <c r="A61" s="1">
        <v>46084</v>
      </c>
      <c r="B61" s="2" t="s">
        <v>17</v>
      </c>
      <c r="C61" s="2" t="s">
        <v>135</v>
      </c>
      <c r="D61" s="7" t="s">
        <v>163</v>
      </c>
      <c r="E61" s="2">
        <v>14.02</v>
      </c>
      <c r="F61" s="2">
        <v>1</v>
      </c>
      <c r="G61" s="2">
        <f t="shared" si="7"/>
        <v>14.02</v>
      </c>
      <c r="H61" s="3" t="s">
        <v>162</v>
      </c>
    </row>
    <row r="62" spans="1:8" x14ac:dyDescent="0.3">
      <c r="A62" s="1">
        <v>46088</v>
      </c>
      <c r="B62" s="2" t="s">
        <v>17</v>
      </c>
      <c r="C62" s="2" t="s">
        <v>164</v>
      </c>
      <c r="D62" s="7" t="s">
        <v>165</v>
      </c>
      <c r="E62" s="2">
        <v>8.83</v>
      </c>
      <c r="F62" s="2">
        <v>1</v>
      </c>
      <c r="G62" s="2">
        <f t="shared" si="7"/>
        <v>8.83</v>
      </c>
      <c r="H62" s="3" t="s">
        <v>166</v>
      </c>
    </row>
    <row r="63" spans="1:8" x14ac:dyDescent="0.3">
      <c r="A63" s="1">
        <v>46088</v>
      </c>
      <c r="B63" s="2" t="s">
        <v>17</v>
      </c>
      <c r="C63" s="2" t="s">
        <v>164</v>
      </c>
      <c r="D63" s="7" t="s">
        <v>168</v>
      </c>
      <c r="E63" s="2">
        <v>7.19</v>
      </c>
      <c r="F63" s="2">
        <v>1</v>
      </c>
      <c r="G63" s="2">
        <f t="shared" si="7"/>
        <v>7.19</v>
      </c>
      <c r="H63" s="3" t="s">
        <v>167</v>
      </c>
    </row>
    <row r="64" spans="1:8" x14ac:dyDescent="0.3">
      <c r="A64" s="1">
        <v>46088</v>
      </c>
      <c r="B64" s="2" t="s">
        <v>17</v>
      </c>
      <c r="C64" s="2" t="s">
        <v>145</v>
      </c>
      <c r="D64" s="7" t="s">
        <v>170</v>
      </c>
      <c r="E64" s="2">
        <v>2.76</v>
      </c>
      <c r="F64" s="2">
        <v>4</v>
      </c>
      <c r="G64" s="2">
        <f t="shared" si="7"/>
        <v>11.04</v>
      </c>
      <c r="H64" s="3" t="s">
        <v>169</v>
      </c>
    </row>
    <row r="65" spans="1:8" x14ac:dyDescent="0.3">
      <c r="A65" s="1">
        <v>46092</v>
      </c>
      <c r="B65" s="2" t="s">
        <v>17</v>
      </c>
      <c r="C65" s="2" t="s">
        <v>130</v>
      </c>
      <c r="D65" s="7" t="s">
        <v>171</v>
      </c>
      <c r="E65" s="2">
        <v>3.49</v>
      </c>
      <c r="F65" s="2">
        <v>2</v>
      </c>
      <c r="G65" s="2">
        <f t="shared" si="7"/>
        <v>6.98</v>
      </c>
      <c r="H65" s="3" t="s">
        <v>172</v>
      </c>
    </row>
    <row r="66" spans="1:8" x14ac:dyDescent="0.3">
      <c r="A66" s="1">
        <v>46092</v>
      </c>
      <c r="B66" s="2" t="s">
        <v>17</v>
      </c>
      <c r="C66" s="2" t="s">
        <v>98</v>
      </c>
      <c r="D66" s="7" t="s">
        <v>174</v>
      </c>
      <c r="E66" s="2">
        <v>42.76</v>
      </c>
      <c r="F66" s="2">
        <v>1</v>
      </c>
      <c r="G66" s="2">
        <f>E66*F66</f>
        <v>42.76</v>
      </c>
      <c r="H66" s="3" t="s">
        <v>173</v>
      </c>
    </row>
    <row r="67" spans="1:8" x14ac:dyDescent="0.3">
      <c r="A67" s="1">
        <v>46092</v>
      </c>
      <c r="B67" s="2" t="s">
        <v>17</v>
      </c>
      <c r="C67" s="2" t="s">
        <v>177</v>
      </c>
      <c r="D67" s="7" t="s">
        <v>176</v>
      </c>
      <c r="E67" s="2">
        <v>45.81</v>
      </c>
      <c r="F67" s="2">
        <v>1</v>
      </c>
      <c r="G67" s="2">
        <f>E67*Table1[[#This Row],[Quantity]]</f>
        <v>45.81</v>
      </c>
      <c r="H67" s="3" t="s">
        <v>175</v>
      </c>
    </row>
    <row r="68" spans="1:8" x14ac:dyDescent="0.3">
      <c r="A68" s="1">
        <v>46092</v>
      </c>
      <c r="B68" s="2" t="s">
        <v>17</v>
      </c>
      <c r="C68" s="2" t="s">
        <v>130</v>
      </c>
      <c r="D68" s="7" t="s">
        <v>179</v>
      </c>
      <c r="E68" s="2">
        <v>18.73</v>
      </c>
      <c r="F68" s="2">
        <v>1</v>
      </c>
      <c r="G68" s="2">
        <f t="shared" si="7"/>
        <v>18.73</v>
      </c>
      <c r="H68" s="3" t="s">
        <v>178</v>
      </c>
    </row>
    <row r="69" spans="1:8" x14ac:dyDescent="0.3">
      <c r="A69" s="1">
        <v>46092</v>
      </c>
      <c r="B69" s="2" t="s">
        <v>17</v>
      </c>
      <c r="C69" s="2" t="s">
        <v>182</v>
      </c>
      <c r="D69" s="7" t="s">
        <v>181</v>
      </c>
      <c r="E69" s="2">
        <v>4.99</v>
      </c>
      <c r="F69" s="2">
        <v>1</v>
      </c>
      <c r="G69" s="2">
        <f t="shared" si="7"/>
        <v>4.99</v>
      </c>
      <c r="H69" s="3" t="s">
        <v>180</v>
      </c>
    </row>
    <row r="70" spans="1:8" x14ac:dyDescent="0.3">
      <c r="A70" s="1">
        <v>46092</v>
      </c>
      <c r="B70" s="2" t="s">
        <v>17</v>
      </c>
      <c r="C70" s="2" t="s">
        <v>182</v>
      </c>
      <c r="D70" s="7" t="s">
        <v>184</v>
      </c>
      <c r="E70" s="2">
        <v>4.68</v>
      </c>
      <c r="F70" s="2">
        <v>1</v>
      </c>
      <c r="G70" s="2">
        <f t="shared" si="7"/>
        <v>4.68</v>
      </c>
      <c r="H70" s="3" t="s">
        <v>183</v>
      </c>
    </row>
    <row r="71" spans="1:8" x14ac:dyDescent="0.3">
      <c r="A71" s="1">
        <v>46102</v>
      </c>
      <c r="B71" s="2" t="s">
        <v>17</v>
      </c>
      <c r="C71" s="2" t="s">
        <v>187</v>
      </c>
      <c r="D71" s="7" t="s">
        <v>186</v>
      </c>
      <c r="E71" s="2">
        <v>39.72</v>
      </c>
      <c r="F71" s="2">
        <v>1</v>
      </c>
      <c r="G71" s="2">
        <f t="shared" si="7"/>
        <v>39.72</v>
      </c>
      <c r="H71" s="3" t="s">
        <v>185</v>
      </c>
    </row>
    <row r="72" spans="1:8" x14ac:dyDescent="0.3">
      <c r="A72" s="1">
        <v>46102</v>
      </c>
      <c r="B72" s="2" t="s">
        <v>17</v>
      </c>
      <c r="C72" s="2" t="s">
        <v>135</v>
      </c>
      <c r="D72" s="7" t="s">
        <v>189</v>
      </c>
      <c r="E72" s="2">
        <v>15.07</v>
      </c>
      <c r="F72" s="2">
        <v>1</v>
      </c>
      <c r="G72" s="2">
        <f t="shared" ref="G72:G86" si="8">E72*F72</f>
        <v>15.07</v>
      </c>
      <c r="H72" s="3" t="s">
        <v>188</v>
      </c>
    </row>
    <row r="73" spans="1:8" x14ac:dyDescent="0.3">
      <c r="A73" s="1">
        <v>46102</v>
      </c>
      <c r="B73" s="2" t="s">
        <v>17</v>
      </c>
      <c r="C73" s="2" t="s">
        <v>192</v>
      </c>
      <c r="D73" s="7" t="s">
        <v>191</v>
      </c>
      <c r="E73" s="2">
        <v>45.58</v>
      </c>
      <c r="F73" s="2">
        <v>1</v>
      </c>
      <c r="G73" s="2">
        <f t="shared" si="8"/>
        <v>45.58</v>
      </c>
      <c r="H73" s="3" t="s">
        <v>190</v>
      </c>
    </row>
    <row r="74" spans="1:8" x14ac:dyDescent="0.3">
      <c r="A74" s="1">
        <v>46102</v>
      </c>
      <c r="B74" s="2" t="s">
        <v>17</v>
      </c>
      <c r="C74" s="2" t="s">
        <v>195</v>
      </c>
      <c r="D74" s="7" t="s">
        <v>194</v>
      </c>
      <c r="E74" s="2">
        <v>6.43</v>
      </c>
      <c r="F74" s="2">
        <v>1</v>
      </c>
      <c r="G74" s="2">
        <f t="shared" si="8"/>
        <v>6.43</v>
      </c>
      <c r="H74" s="3" t="s">
        <v>193</v>
      </c>
    </row>
    <row r="75" spans="1:8" x14ac:dyDescent="0.3">
      <c r="A75" s="1">
        <v>46102</v>
      </c>
      <c r="B75" s="2" t="s">
        <v>17</v>
      </c>
      <c r="C75" s="2" t="s">
        <v>11</v>
      </c>
      <c r="D75" s="7" t="s">
        <v>197</v>
      </c>
      <c r="E75" s="2">
        <v>26.5</v>
      </c>
      <c r="F75" s="2">
        <v>1</v>
      </c>
      <c r="G75" s="2">
        <f t="shared" si="8"/>
        <v>26.5</v>
      </c>
      <c r="H75" s="3" t="s">
        <v>196</v>
      </c>
    </row>
    <row r="76" spans="1:8" x14ac:dyDescent="0.3">
      <c r="A76" s="1">
        <v>46104</v>
      </c>
      <c r="B76" s="2" t="s">
        <v>17</v>
      </c>
      <c r="C76" s="2" t="s">
        <v>200</v>
      </c>
      <c r="D76" s="2" t="s">
        <v>199</v>
      </c>
      <c r="E76" s="2">
        <v>12.8</v>
      </c>
      <c r="F76" s="2">
        <v>2</v>
      </c>
      <c r="G76" s="2">
        <f t="shared" si="8"/>
        <v>25.6</v>
      </c>
      <c r="H76" s="3" t="s">
        <v>198</v>
      </c>
    </row>
    <row r="77" spans="1:8" x14ac:dyDescent="0.3">
      <c r="A77" s="1">
        <v>46104</v>
      </c>
      <c r="B77" s="2" t="s">
        <v>17</v>
      </c>
      <c r="C77" s="2" t="s">
        <v>135</v>
      </c>
      <c r="D77" s="7" t="s">
        <v>202</v>
      </c>
      <c r="E77" s="2">
        <v>14.16</v>
      </c>
      <c r="F77" s="2">
        <v>1</v>
      </c>
      <c r="G77" s="2">
        <f t="shared" si="8"/>
        <v>14.16</v>
      </c>
      <c r="H77" s="3" t="s">
        <v>201</v>
      </c>
    </row>
    <row r="78" spans="1:8" x14ac:dyDescent="0.3">
      <c r="A78" s="1">
        <v>46104</v>
      </c>
      <c r="B78" s="2" t="s">
        <v>17</v>
      </c>
      <c r="C78" s="2" t="s">
        <v>112</v>
      </c>
      <c r="D78" s="7" t="s">
        <v>204</v>
      </c>
      <c r="E78" s="2">
        <v>6.98</v>
      </c>
      <c r="F78" s="2">
        <v>5</v>
      </c>
      <c r="G78" s="2">
        <f t="shared" si="8"/>
        <v>34.900000000000006</v>
      </c>
      <c r="H78" s="3" t="s">
        <v>203</v>
      </c>
    </row>
    <row r="79" spans="1:8" x14ac:dyDescent="0.3">
      <c r="A79" s="1">
        <v>46113</v>
      </c>
      <c r="B79" s="2" t="s">
        <v>17</v>
      </c>
      <c r="C79" s="2" t="s">
        <v>207</v>
      </c>
      <c r="D79" s="7" t="s">
        <v>206</v>
      </c>
      <c r="E79" s="2">
        <v>3.76</v>
      </c>
      <c r="F79" s="2">
        <v>1</v>
      </c>
      <c r="G79" s="2">
        <f t="shared" si="8"/>
        <v>3.76</v>
      </c>
      <c r="H79" s="3" t="s">
        <v>205</v>
      </c>
    </row>
    <row r="80" spans="1:8" x14ac:dyDescent="0.3">
      <c r="A80" s="1">
        <v>46113</v>
      </c>
      <c r="B80" s="2" t="s">
        <v>17</v>
      </c>
      <c r="C80" s="2" t="s">
        <v>210</v>
      </c>
      <c r="D80" s="7" t="s">
        <v>209</v>
      </c>
      <c r="E80" s="2">
        <v>4.72</v>
      </c>
      <c r="F80" s="2">
        <v>1</v>
      </c>
      <c r="G80" s="2">
        <f t="shared" si="8"/>
        <v>4.72</v>
      </c>
      <c r="H80" s="3" t="s">
        <v>208</v>
      </c>
    </row>
    <row r="81" spans="1:8" x14ac:dyDescent="0.3">
      <c r="A81" s="1">
        <v>46113</v>
      </c>
      <c r="B81" s="2" t="s">
        <v>17</v>
      </c>
      <c r="C81" s="2" t="s">
        <v>213</v>
      </c>
      <c r="D81" s="7" t="s">
        <v>212</v>
      </c>
      <c r="E81" s="2">
        <v>61.04</v>
      </c>
      <c r="F81" s="2">
        <v>2</v>
      </c>
      <c r="G81" s="2">
        <f t="shared" si="8"/>
        <v>122.08</v>
      </c>
      <c r="H81" s="3" t="s">
        <v>211</v>
      </c>
    </row>
    <row r="82" spans="1:8" x14ac:dyDescent="0.3">
      <c r="A82" s="1">
        <v>46113</v>
      </c>
      <c r="B82" s="2" t="s">
        <v>17</v>
      </c>
      <c r="C82" s="2" t="s">
        <v>216</v>
      </c>
      <c r="D82" s="7" t="s">
        <v>215</v>
      </c>
      <c r="E82" s="2">
        <v>382.26</v>
      </c>
      <c r="F82" s="2">
        <v>1</v>
      </c>
      <c r="G82" s="2">
        <f t="shared" si="8"/>
        <v>382.26</v>
      </c>
      <c r="H82" s="3" t="s">
        <v>214</v>
      </c>
    </row>
    <row r="83" spans="1:8" x14ac:dyDescent="0.3">
      <c r="A83" s="1">
        <v>46113</v>
      </c>
      <c r="B83" s="2" t="s">
        <v>17</v>
      </c>
      <c r="C83" s="2" t="s">
        <v>219</v>
      </c>
      <c r="D83" s="7" t="s">
        <v>218</v>
      </c>
      <c r="E83" s="2">
        <v>47.78</v>
      </c>
      <c r="F83" s="2">
        <v>2</v>
      </c>
      <c r="G83" s="2">
        <f t="shared" si="8"/>
        <v>95.56</v>
      </c>
      <c r="H83" s="3" t="s">
        <v>217</v>
      </c>
    </row>
    <row r="84" spans="1:8" x14ac:dyDescent="0.3">
      <c r="A84" s="1">
        <v>46113</v>
      </c>
      <c r="B84" s="2" t="s">
        <v>17</v>
      </c>
      <c r="C84" s="2" t="s">
        <v>222</v>
      </c>
      <c r="D84" s="7" t="s">
        <v>221</v>
      </c>
      <c r="E84" s="2">
        <v>9.99</v>
      </c>
      <c r="F84" s="2">
        <v>5</v>
      </c>
      <c r="G84" s="2">
        <f t="shared" si="8"/>
        <v>49.95</v>
      </c>
      <c r="H84" s="3" t="s">
        <v>220</v>
      </c>
    </row>
    <row r="85" spans="1:8" x14ac:dyDescent="0.3">
      <c r="A85" s="1">
        <v>46113</v>
      </c>
      <c r="B85" s="2" t="s">
        <v>17</v>
      </c>
      <c r="C85" s="2" t="s">
        <v>88</v>
      </c>
      <c r="D85" s="7" t="s">
        <v>224</v>
      </c>
      <c r="E85" s="2">
        <v>6.02</v>
      </c>
      <c r="F85" s="2">
        <v>1</v>
      </c>
      <c r="G85" s="2">
        <f t="shared" si="8"/>
        <v>6.02</v>
      </c>
      <c r="H85" s="3" t="s">
        <v>223</v>
      </c>
    </row>
    <row r="86" spans="1:8" x14ac:dyDescent="0.3">
      <c r="A86" s="1">
        <v>46113</v>
      </c>
      <c r="B86" s="2" t="s">
        <v>17</v>
      </c>
      <c r="C86" s="2" t="s">
        <v>219</v>
      </c>
      <c r="D86" s="7" t="s">
        <v>226</v>
      </c>
      <c r="E86" s="2">
        <v>2.3199999999999998</v>
      </c>
      <c r="F86" s="2">
        <v>1</v>
      </c>
      <c r="G86" s="2">
        <f t="shared" si="8"/>
        <v>2.3199999999999998</v>
      </c>
      <c r="H86" s="3" t="s">
        <v>225</v>
      </c>
    </row>
    <row r="87" spans="1:8" x14ac:dyDescent="0.3">
      <c r="A87" s="1">
        <v>46125</v>
      </c>
      <c r="B87" s="2" t="s">
        <v>35</v>
      </c>
      <c r="C87" s="2" t="s">
        <v>227</v>
      </c>
      <c r="D87" s="2" t="s">
        <v>37</v>
      </c>
      <c r="E87" s="2">
        <v>11.99</v>
      </c>
      <c r="F87" s="2">
        <v>4</v>
      </c>
      <c r="G87" s="2">
        <f t="shared" ref="G87:G103" si="9">E87*F87</f>
        <v>47.96</v>
      </c>
      <c r="H87" s="3" t="s">
        <v>228</v>
      </c>
    </row>
    <row r="88" spans="1:8" x14ac:dyDescent="0.3">
      <c r="A88" s="1">
        <v>46127</v>
      </c>
      <c r="B88" s="2" t="s">
        <v>17</v>
      </c>
      <c r="C88" s="2" t="s">
        <v>219</v>
      </c>
      <c r="D88" s="2" t="s">
        <v>230</v>
      </c>
      <c r="E88" s="2">
        <v>9.99</v>
      </c>
      <c r="F88" s="2">
        <v>1</v>
      </c>
      <c r="G88" s="2">
        <f t="shared" si="9"/>
        <v>9.99</v>
      </c>
      <c r="H88" s="3" t="s">
        <v>229</v>
      </c>
    </row>
    <row r="89" spans="1:8" x14ac:dyDescent="0.3">
      <c r="A89" s="1">
        <v>46127</v>
      </c>
      <c r="B89" s="2" t="s">
        <v>17</v>
      </c>
      <c r="C89" s="2" t="s">
        <v>233</v>
      </c>
      <c r="D89" s="7" t="s">
        <v>232</v>
      </c>
      <c r="E89" s="2">
        <v>14.63</v>
      </c>
      <c r="F89" s="2">
        <v>2</v>
      </c>
      <c r="G89" s="2">
        <f t="shared" si="9"/>
        <v>29.26</v>
      </c>
      <c r="H89" s="3" t="s">
        <v>231</v>
      </c>
    </row>
    <row r="90" spans="1:8" x14ac:dyDescent="0.3">
      <c r="A90" s="1">
        <v>46127</v>
      </c>
      <c r="B90" s="2" t="s">
        <v>234</v>
      </c>
      <c r="C90" s="2" t="s">
        <v>235</v>
      </c>
      <c r="D90" s="10" t="s">
        <v>236</v>
      </c>
      <c r="E90" s="2">
        <v>167.42</v>
      </c>
      <c r="F90" s="2">
        <v>3</v>
      </c>
      <c r="G90" s="2">
        <f t="shared" si="9"/>
        <v>502.26</v>
      </c>
      <c r="H90" s="3" t="s">
        <v>237</v>
      </c>
    </row>
    <row r="91" spans="1:8" x14ac:dyDescent="0.3">
      <c r="A91" s="1">
        <v>46156</v>
      </c>
      <c r="B91" s="2" t="s">
        <v>17</v>
      </c>
      <c r="C91" s="2" t="s">
        <v>135</v>
      </c>
      <c r="D91" s="7" t="s">
        <v>239</v>
      </c>
      <c r="E91" s="2">
        <v>12.61</v>
      </c>
      <c r="F91" s="2">
        <v>1</v>
      </c>
      <c r="G91" s="2">
        <f t="shared" si="9"/>
        <v>12.61</v>
      </c>
      <c r="H91" s="3" t="s">
        <v>238</v>
      </c>
    </row>
    <row r="92" spans="1:8" x14ac:dyDescent="0.3">
      <c r="A92" s="1">
        <v>46169</v>
      </c>
      <c r="B92" s="2" t="s">
        <v>240</v>
      </c>
      <c r="C92" s="2" t="s">
        <v>241</v>
      </c>
      <c r="D92" s="2" t="s">
        <v>242</v>
      </c>
      <c r="E92" s="2">
        <v>10.45</v>
      </c>
      <c r="F92" s="2">
        <v>2</v>
      </c>
      <c r="G92" s="2">
        <f t="shared" si="9"/>
        <v>20.9</v>
      </c>
      <c r="H92" s="2" t="s">
        <v>37</v>
      </c>
    </row>
    <row r="93" spans="1:8" x14ac:dyDescent="0.3">
      <c r="A93" s="1">
        <v>46169</v>
      </c>
      <c r="B93" s="2" t="s">
        <v>240</v>
      </c>
      <c r="C93" s="2" t="s">
        <v>241</v>
      </c>
      <c r="D93" s="2" t="s">
        <v>243</v>
      </c>
      <c r="E93" s="2">
        <v>2.1800000000000002</v>
      </c>
      <c r="F93" s="2">
        <v>3</v>
      </c>
      <c r="G93" s="2">
        <f t="shared" si="9"/>
        <v>6.5400000000000009</v>
      </c>
      <c r="H93" s="2" t="s">
        <v>37</v>
      </c>
    </row>
    <row r="94" spans="1:8" x14ac:dyDescent="0.3">
      <c r="A94" s="2"/>
      <c r="B94" s="2"/>
      <c r="C94" s="2"/>
      <c r="D94" s="2"/>
      <c r="E94" s="2"/>
      <c r="F94" s="2"/>
      <c r="G94" s="2">
        <f t="shared" si="9"/>
        <v>0</v>
      </c>
      <c r="H94" s="2"/>
    </row>
    <row r="95" spans="1:8" x14ac:dyDescent="0.3">
      <c r="A95" s="2"/>
      <c r="B95" s="2"/>
      <c r="C95" s="2"/>
      <c r="D95" s="2"/>
      <c r="E95" s="2"/>
      <c r="F95" s="2"/>
      <c r="G95" s="2">
        <f t="shared" si="9"/>
        <v>0</v>
      </c>
      <c r="H95" s="2"/>
    </row>
    <row r="96" spans="1:8" x14ac:dyDescent="0.3">
      <c r="A96" s="2"/>
      <c r="B96" s="2"/>
      <c r="C96" s="2"/>
      <c r="D96" s="2"/>
      <c r="E96" s="2"/>
      <c r="F96" s="2"/>
      <c r="G96" s="2">
        <f t="shared" si="9"/>
        <v>0</v>
      </c>
      <c r="H96" s="2"/>
    </row>
    <row r="97" spans="1:8" x14ac:dyDescent="0.3">
      <c r="A97" s="2"/>
      <c r="B97" s="2"/>
      <c r="C97" s="2"/>
      <c r="D97" s="2"/>
      <c r="E97" s="2"/>
      <c r="F97" s="2"/>
      <c r="G97" s="2">
        <f t="shared" si="9"/>
        <v>0</v>
      </c>
      <c r="H97" s="2"/>
    </row>
    <row r="98" spans="1:8" x14ac:dyDescent="0.3">
      <c r="A98" s="2"/>
      <c r="B98" s="2"/>
      <c r="C98" s="2"/>
      <c r="D98" s="2"/>
      <c r="E98" s="2"/>
      <c r="F98" s="2"/>
      <c r="G98" s="2">
        <f t="shared" si="9"/>
        <v>0</v>
      </c>
      <c r="H98" s="2"/>
    </row>
    <row r="99" spans="1:8" x14ac:dyDescent="0.3">
      <c r="A99" s="2"/>
      <c r="B99" s="2"/>
      <c r="C99" s="2"/>
      <c r="D99" s="2"/>
      <c r="E99" s="2"/>
      <c r="F99" s="2"/>
      <c r="G99" s="2">
        <f t="shared" si="9"/>
        <v>0</v>
      </c>
      <c r="H99" s="2"/>
    </row>
    <row r="100" spans="1:8" x14ac:dyDescent="0.3">
      <c r="A100" s="2"/>
      <c r="B100" s="2"/>
      <c r="C100" s="2"/>
      <c r="D100" s="2"/>
      <c r="E100" s="2"/>
      <c r="F100" s="2"/>
      <c r="G100" s="2">
        <f t="shared" si="9"/>
        <v>0</v>
      </c>
      <c r="H100" s="2"/>
    </row>
    <row r="101" spans="1:8" x14ac:dyDescent="0.3">
      <c r="A101" s="2"/>
      <c r="B101" s="2"/>
      <c r="C101" s="2"/>
      <c r="D101" s="2"/>
      <c r="E101" s="2"/>
      <c r="F101" s="2"/>
      <c r="G101" s="2">
        <f t="shared" si="9"/>
        <v>0</v>
      </c>
      <c r="H101" s="2"/>
    </row>
    <row r="102" spans="1:8" x14ac:dyDescent="0.3">
      <c r="A102" s="2"/>
      <c r="B102" s="2"/>
      <c r="C102" s="2"/>
      <c r="D102" s="2"/>
      <c r="E102" s="2"/>
      <c r="F102" s="2"/>
      <c r="G102" s="2">
        <f t="shared" si="9"/>
        <v>0</v>
      </c>
      <c r="H102" s="2"/>
    </row>
    <row r="103" spans="1:8" x14ac:dyDescent="0.3">
      <c r="A103" s="2"/>
      <c r="B103" s="2"/>
      <c r="C103" s="2"/>
      <c r="D103" s="2"/>
      <c r="E103" s="2"/>
      <c r="F103" s="2"/>
      <c r="G103" s="2">
        <f t="shared" si="9"/>
        <v>0</v>
      </c>
      <c r="H103" s="2"/>
    </row>
  </sheetData>
  <phoneticPr fontId="3" type="noConversion"/>
  <hyperlinks>
    <hyperlink ref="H2" r:id="rId1" xr:uid="{0347F6A0-2FC0-4B27-8057-DFB54E999191}"/>
    <hyperlink ref="H3" r:id="rId2" display="https://www.mscdirect.com/product/details/67436964?rItem=67436964" xr:uid="{16F0D96D-683B-4F3B-9550-D547E8CEC3FF}"/>
    <hyperlink ref="H4" r:id="rId3" display="https://www.mscdirect.com/product/details/67473967?rItem=67473967" xr:uid="{B37830D4-6E1D-4EAD-9A4F-F7F25A732719}"/>
    <hyperlink ref="H5" r:id="rId4" display="https://www.fastenal.com/product/details/99176795" xr:uid="{AE062A7B-B13A-4B4F-8DC5-045FF3D3A8C9}"/>
    <hyperlink ref="H6" r:id="rId5" display="https://www.grainger.com/product/53UJ14?RIID=51819294775&amp;GID=729415832&amp;mid=OrderConfirmation_REST&amp;rfe=62a290c53505e3dcfb30a85f2b634b55e49dc37c6d953be435f9c27577e028b8&amp;gucid=EMT:11126144:Item:CSM-323&amp;emcid=NA:Item" xr:uid="{25868FC2-72E1-4087-BCAC-8409C39482CA}"/>
    <hyperlink ref="H7" r:id="rId6" display="https://www.grainger.com/product/53UH83?RIID=51819294775&amp;GID=729415832&amp;mid=OrderConfirmation_REST&amp;rfe=62a290c53505e3dcfb30a85f2b634b55e49dc37c6d953be435f9c27577e028b8&amp;gucid=EMT:11126144:Item:CSM-323&amp;emcid=NA:Item" xr:uid="{BE6E2518-23CB-4702-8462-2DD9F9666CF2}"/>
    <hyperlink ref="H8" r:id="rId7" display="https://www.grainger.com/product/Metal-Pipe-Flange-Flange-4WPV1" xr:uid="{5B7156AD-6540-43DC-B0A1-EFD64FADC902}"/>
    <hyperlink ref="H9" r:id="rId8" display="https://www.grainger.com/product/1MKC2?gucid=N:N:FPL:Free:MS:CSM-1946:tew63h4:20501231&amp;gucid=N:N:PS:Paid:GGL:CSM-2295:ZRUQJH:20800606:APZ_1&amp;gclsrc=aw.ds&amp;gad_source=4&amp;gad_campaignid=22472343581&amp;gclid=Cj0KCQiAyP3KBhD9ARIsAAJLnnZV3FrrMMW30hmQUU1G4R6t9R910azLkt4b0E5gRseHoTUa98qjbrAaAtruEALw_wcB" xr:uid="{C4FEF1A5-5C15-447D-9F54-740FBEA4BFD3}"/>
    <hyperlink ref="H10" r:id="rId9" display="https://www.grainger.com/product/PARKER-Metal-Pipe-Tee-Tee-13Y864" xr:uid="{ABE34765-BAFA-4FB4-8812-B2CE8F420FFC}"/>
    <hyperlink ref="H11" r:id="rId10" display="https://www.grainger.com/product/PARKER-Compression-Fitting-Adapter-20YY84" xr:uid="{27246455-0C0D-44FF-B9F7-F45E00AB7879}"/>
    <hyperlink ref="H13" r:id="rId11" display="https://www.burkert-usa.com/en/products/proportional-valves/controllers/316533" xr:uid="{A345DE22-6380-43A7-82A8-2673B7FF6CA3}"/>
    <hyperlink ref="H14" r:id="rId12" display="https://www.burkert-usa.com/en/type/8605?utm_source=DataSheet-8605&amp;utm_medium=Text-Link&amp;utm_campaign=Type-Link&amp;utm_content=Typ-8605" xr:uid="{744E6404-2DEF-4902-AC92-ECD4A227AD07}"/>
    <hyperlink ref="H15" r:id="rId13" display="https://www.burkert-usa.com/en/products/solenoid-valves/accessories/cable-plugs/314802?utm_campaign=Article-Link&amp;utm_content=314802&amp;utm_medium=Text-Link&amp;utm_source=DataSheet-2836" xr:uid="{B9F83F9C-1944-4595-B928-3E5FF2E11AF9}"/>
    <hyperlink ref="H16" r:id="rId14" display="https://www.burkert-usa.com/en/products/proportional-valves/general-purpose-proportional-valves/164598" xr:uid="{5DDCB440-9AE3-4AAF-9563-C1A93EB19BEB}"/>
    <hyperlink ref="H17" r:id="rId15" display="https://www.digikey.com/en/products/detail/belden-inc/76402TS-0081000/8121749?gclsrc=aw.ds&amp;gad_source=1&amp;gad_campaignid=17336967819&amp;gbraid=0AAAAADrbLliFYeEY1zGYMTweHRoLgpUiC&amp;gclid=CjwKCAiAvaLLBhBFEiwAYCNTf474ZmceJINd-_V3kh0Y0U7TrBMEFaYTCsHI46C9SlD8tcFBGIDj-BoCIU0QAvD_BwE" xr:uid="{C744CC85-6659-48D5-AC1E-857AE5D74B2B}"/>
    <hyperlink ref="H19" r:id="rId16" display="https://www.digikey.com/en/products/detail/jonard-tools/JIC-2030/2308356?so=97133380&amp;content=productdetail_row&amp;mkt_tok=MDI4LVNYSy01MDcAAAGfqc74y9fVo3D_eYIHOq8qMpCiq1AQlBRoPSPgiUC8lxE_0DXY_ppdkf0PIg1Nc39i39ld1zszhIxhzi4NatLPa5Cp8OS-2CsOZqlhAV1hvQ" xr:uid="{CD907677-3619-4564-826A-EF54372B6DD1}"/>
    <hyperlink ref="H20" r:id="rId17" display="https://www.digikey.com/en/products/detail/klein-tools-inc/34055/24627409?so=97133380&amp;content=productdetail_row&amp;mkt_tok=MDI4LVNYSy01MDcAAAGfqc74y-LsPsvVQ5V6Hu53b7J9vpASeLmlJbJNm4ZIjBVDRhamAmNAH72cjUqWXQCpIXSkP4XcJ4H4RZ89yC3kaEsDbSqDUKqBb6zI28B0Zw" xr:uid="{ECEEB58E-2BB7-4D34-ABD4-DCC3717890EA}"/>
    <hyperlink ref="H21" r:id="rId18" display="https://www.digikey.com/en/products/detail/american-electrical-inc/1161014/266366?so=97133380&amp;content=productdetail_row&amp;mkt_tok=MDI4LVNYSy01MDcAAAGfqc74y_2nxjw-T57RmEQGrUX63KPY4YoEnMSjghSuuo7pkFXLLVrDjGzE1S6EwVJzLXYpMCRfqTB2XjQf-7zCw5WzPNIjIpufSD41ZSQB-A" xr:uid="{E8174DA2-E76B-4922-AEBC-D801066446DA}"/>
    <hyperlink ref="H22" r:id="rId19" display="https://www.bhphotovideo.com/c/product/744102-REG/Bosch_UMM_LW_20B_UMM_LW_20B_Monitor_Wall_Mount.html" xr:uid="{1348F4D6-1F2A-42EB-8A6E-6C49ACBBBE68}"/>
    <hyperlink ref="H23" r:id="rId20" display="https://www.cdwg.com/product/dell-p2424ht-led-monitor-full-hd-1080p-24/7568365?enkwrd=7568365" xr:uid="{6CCC878E-636E-49F1-87AA-455CB5ADE9D5}"/>
    <hyperlink ref="H24" r:id="rId21" display="https://www.cdwg.com/product/dell-pro-e2425hm-led-monitor-full-hd-1080p-24/8323512?enkwrd=8323512" xr:uid="{6B66860E-CAE3-4AE1-87AE-FAB9FBF5300F}"/>
    <hyperlink ref="H25" r:id="rId22" display="https://www.bhphotovideo.com/c/product/744102-REG/Bosch_UMM_LW_20B_UMM_LW_20B_Monitor_Wall_Mount.html" xr:uid="{B6BB11B6-6D52-4F15-9E9E-4AE62B1B7B4C}"/>
    <hyperlink ref="H26" r:id="rId23" display="https://www.grainger.com/product/3AAA2?RIID=51819294775&amp;GID=729415832&amp;mid=OrderConfirmation_REST&amp;rfe=be60c264cb8af064766c979f26eae4bb472251d98b9b8ab10d9b00772ba5c4ca&amp;gucid=EMT:11126144:Item:CSM-323&amp;emcid=NA:Item" xr:uid="{2389BCD1-1692-4FA9-98A5-503A8EC65DF1}"/>
    <hyperlink ref="H27" r:id="rId24" display="https://www.grainger.com/product/5ZY28?RIID=51819294775&amp;GID=729415832&amp;mid=OrderConfirmation_REST&amp;rfe=be60c264cb8af064766c979f26eae4bb472251d98b9b8ab10d9b00772ba5c4ca&amp;gucid=EMT:11126144:Item:CSM-323&amp;emcid=NA:Item" xr:uid="{B9033A24-A40E-4EAE-B288-100117513B7D}"/>
    <hyperlink ref="H28" r:id="rId25" display="https://www.grainger.com/product/13Y764?RIID=51819294775&amp;GID=729415832&amp;mid=OrderConfirmation_REST&amp;rfe=be60c264cb8af064766c979f26eae4bb472251d98b9b8ab10d9b00772ba5c4ca&amp;gucid=EMT:11126144:Item:CSM-323&amp;emcid=NA:Item" xr:uid="{FF5CE351-8E37-4715-A839-C22C7CC47464}"/>
    <hyperlink ref="H29" r:id="rId26" display="https://www.grainger.com/product/13Y763?RIID=51819294775&amp;GID=729415832&amp;mid=OrderConfirmation_REST&amp;rfe=be60c264cb8af064766c979f26eae4bb472251d98b9b8ab10d9b00772ba5c4ca&amp;gucid=EMT:11126144:Item:CSM-323&amp;emcid=NA:Item" xr:uid="{CD63CD25-20B6-4091-BDA1-86A7FF132994}"/>
    <hyperlink ref="H30" r:id="rId27" display="https://www.grainger.com/product/4DRC4?RIID=51819294775&amp;GID=729415832&amp;mid=OrderConfirmation_REST&amp;rfe=be60c264cb8af064766c979f26eae4bb472251d98b9b8ab10d9b00772ba5c4ca&amp;gucid=EMT:11126144:Item:CSM-323&amp;emcid=NA:Item" xr:uid="{88602A9C-6E6F-4ADC-880F-C75F14F67A14}"/>
    <hyperlink ref="H31" r:id="rId28" display="https://www.grainger.com/product/1VGU6?RIID=51819294775&amp;GID=729415832&amp;mid=OrderConfirmation_REST&amp;rfe=be60c264cb8af064766c979f26eae4bb472251d98b9b8ab10d9b00772ba5c4ca&amp;gucid=EMT:11126144:Item:CSM-323&amp;emcid=NA:Item" xr:uid="{AC9325D9-21F4-4F70-988D-D4B4F78C1269}"/>
    <hyperlink ref="H32" r:id="rId29" display="https://www.grainger.com/product/1VGU2?RIID=51819294775&amp;GID=729415832&amp;mid=OrderConfirmation_REST&amp;rfe=be60c264cb8af064766c979f26eae4bb472251d98b9b8ab10d9b00772ba5c4ca&amp;gucid=EMT:11126144:Item:CSM-323&amp;emcid=NA:Item" xr:uid="{8BEA99C4-CC46-4B39-A2C8-5C1C60BDA8F7}"/>
    <hyperlink ref="H33" r:id="rId30" display="https://www.grainger.com/product/1VER9?RIID=51819294775&amp;GID=729415832&amp;mid=OrderConfirmation_REST&amp;rfe=be60c264cb8af064766c979f26eae4bb472251d98b9b8ab10d9b00772ba5c4ca&amp;gucid=EMT:11126144:Item:CSM-323&amp;emcid=NA:Item" xr:uid="{43FEF0F9-927A-4351-A55D-07CC99107FBF}"/>
    <hyperlink ref="H34" r:id="rId31" display="https://www.grainger.com/product/2CFF9?RIID=51819294775&amp;GID=729415832&amp;mid=OrderConfirmation_REST&amp;rfe=be60c264cb8af064766c979f26eae4bb472251d98b9b8ab10d9b00772ba5c4ca&amp;gucid=EMT:11126144:Item:CSM-323&amp;emcid=NA:Item" xr:uid="{579EC18F-B3FA-43C3-846F-4EE37A290A02}"/>
    <hyperlink ref="H35" r:id="rId32" display="https://www.grainger.com/product/1VEZ5?RIID=51819294775&amp;GID=729415832&amp;mid=OrderConfirmation_REST&amp;rfe=be60c264cb8af064766c979f26eae4bb472251d98b9b8ab10d9b00772ba5c4ca&amp;gucid=EMT:11126144:Item:CSM-323&amp;emcid=NA:Item" xr:uid="{34AB4A20-BA57-47AF-A658-4CBE54E9AC69}"/>
    <hyperlink ref="H36" r:id="rId33" display="https://www.grainger.com/product/6RCZ8?RIID=51819294775&amp;GID=729415832&amp;mid=OrderConfirmation_REST&amp;rfe=be60c264cb8af064766c979f26eae4bb472251d98b9b8ab10d9b00772ba5c4ca&amp;gucid=EMT:11126144:Item:CSM-323&amp;emcid=NA:Item" xr:uid="{BE34EDEC-9285-4361-A985-E2929164C125}"/>
    <hyperlink ref="H37" r:id="rId34" display="https://www.grainger.com/product/1VGR6?RIID=51819294775&amp;GID=729415832&amp;mid=OrderConfirmation_REST&amp;rfe=be60c264cb8af064766c979f26eae4bb472251d98b9b8ab10d9b00772ba5c4ca&amp;gucid=EMT:11126144:Item:CSM-323&amp;emcid=NA:Item" xr:uid="{ABC70E6D-C9E7-4A9C-8DC2-F725DC3B0C4D}"/>
    <hyperlink ref="H38" r:id="rId35" display="https://www.grainger.com/product/22FP62?RIID=51819294775&amp;GID=729415832&amp;mid=OrderConfirmation_REST&amp;rfe=be60c264cb8af064766c979f26eae4bb472251d98b9b8ab10d9b00772ba5c4ca&amp;gucid=EMT:11126144:Item:CSM-323&amp;emcid=NA:Item" xr:uid="{40E594DF-ABC7-4277-997D-5B429DD53FCE}"/>
    <hyperlink ref="H39" r:id="rId36" display="https://www.grainger.com/product/22FP63?RIID=51819294775&amp;GID=729415832&amp;mid=OrderConfirmation_REST&amp;rfe=be60c264cb8af064766c979f26eae4bb472251d98b9b8ab10d9b00772ba5c4ca&amp;gucid=EMT:11126144:Item:CSM-323&amp;emcid=NA:Item" xr:uid="{88DDB78D-0B76-4DED-B013-21C28FA52A8B}"/>
    <hyperlink ref="H40" r:id="rId37" display="https://www.grainger.com/product/1WB27?RIID=51819294775&amp;GID=729415832&amp;mid=OrderConfirmation_REST&amp;rfe=be60c264cb8af064766c979f26eae4bb472251d98b9b8ab10d9b00772ba5c4ca&amp;gucid=EMT:11126144:Item:CSM-323&amp;emcid=NA:Item" xr:uid="{E11EF123-862C-4460-9FCB-633FF268753F}"/>
    <hyperlink ref="H41" r:id="rId38" xr:uid="{2B5BE483-BCD2-4A4A-BC2A-89C36F9B2E04}"/>
    <hyperlink ref="H42" r:id="rId39" display="https://www.grainger.com/product/22FP85?RIID=51819294775&amp;GID=729415832&amp;mid=OrderConfirmation_REST&amp;rfe=be60c264cb8af064766c979f26eae4bb472251d98b9b8ab10d9b00772ba5c4ca&amp;gucid=EMT:11126144:Item:CSM-323&amp;emcid=NA:Item" xr:uid="{50E6A8FC-4F6B-417E-93B6-E87340E44E34}"/>
    <hyperlink ref="H43" r:id="rId40" display="https://www.grainger.com/product/6RDA5?RIID=51819294775&amp;GID=729415832&amp;mid=OrderConfirmation_REST&amp;rfe=be60c264cb8af064766c979f26eae4bb472251d98b9b8ab10d9b00772ba5c4ca&amp;gucid=EMT:11126144:Item:CSM-323&amp;emcid=NA:Item" xr:uid="{D35FE5D6-75F8-43B7-9CBA-D85EC79B6ECA}"/>
    <hyperlink ref="H44" r:id="rId41" display="https://www.grainger.com/product/6RCY9?RIID=51819294775&amp;GID=729415832&amp;mid=OrderConfirmation_REST&amp;rfe=be60c264cb8af064766c979f26eae4bb472251d98b9b8ab10d9b00772ba5c4ca&amp;gucid=EMT:11126144:Item:CSM-323&amp;emcid=NA:Item" xr:uid="{93DD7B52-3D78-4ECB-B1AC-A73F2AEBE6BC}"/>
    <hyperlink ref="H45" r:id="rId42" display="https://www.grainger.com/product/796K77?RIID=51819294775&amp;GID=729415832&amp;mid=ShipConfirmation_REST&amp;rfe=f4552f2692caa603b91b9a50ab8ce941f1aa011dbe78b4501c3d4e8d9b0476ef&amp;gucid=EMT:11127411:Item:CSM-329&amp;emcid=NA:Item-LC_Test" xr:uid="{7A85276C-BC8E-44BE-BAD6-DC3B51EC64C9}"/>
    <hyperlink ref="H46" r:id="rId43" display="https://www.grainger.com/product/1XGY9?RIID=51819294775&amp;GID=729415832&amp;mid=ShipConfirmation_REST&amp;rfe=f4552f2692caa603b91b9a50ab8ce941f1aa011dbe78b4501c3d4e8d9b0476ef&amp;gucid=EMT:11127411:Item:CSM-329&amp;emcid=NA:Item-LC_Test" xr:uid="{8180BA0D-842B-46A3-A42B-F3DFD430C485}"/>
    <hyperlink ref="H47" r:id="rId44" display="https://www.grainger.com/product/55EU91?RIID=51819294775&amp;GID=729415832&amp;mid=ShipConfirmation_REST&amp;rfe=f4552f2692caa603b91b9a50ab8ce941f1aa011dbe78b4501c3d4e8d9b0476ef&amp;gucid=EMT:11127411:Item:CSM-329&amp;emcid=NA:Item-LC_Test" xr:uid="{9790C9E8-A6EE-447D-9880-2EE3523DEFEB}"/>
    <hyperlink ref="H48" r:id="rId45" display="https://www.grainger.com/product/6AFN6?RIID=51819294775&amp;GID=729415832&amp;mid=ShipConfirmation_REST&amp;rfe=f4552f2692caa603b91b9a50ab8ce941f1aa011dbe78b4501c3d4e8d9b0476ef&amp;gucid=EMT:11127411:Item:CSM-329&amp;emcid=NA:Item-LC_Test" xr:uid="{3355075F-41B0-4169-839E-5142B6DEE67F}"/>
    <hyperlink ref="H49" r:id="rId46" display="https://www.grainger.com/product/3KUK5?RIID=51819294775&amp;GID=729415832&amp;mid=ShipConfirmation_REST&amp;rfe=f4552f2692caa603b91b9a50ab8ce941f1aa011dbe78b4501c3d4e8d9b0476ef&amp;gucid=EMT:11127411:Item:CSM-329&amp;emcid=NA:Item-LC_Test" xr:uid="{003C9860-30B6-4EDE-8D90-53246C52A9E9}"/>
    <hyperlink ref="H50" r:id="rId47" display="https://www.grainger.com/product/22FP59?RIID=51819294775&amp;GID=729415832&amp;mid=ShipConfirmation_REST&amp;rfe=f4552f2692caa603b91b9a50ab8ce941f1aa011dbe78b4501c3d4e8d9b0476ef&amp;gucid=EMT:11127411:Item:CSM-329&amp;emcid=NA:Item-LC_Test" xr:uid="{9FAB4232-68C6-4A78-8CF1-C041CC53D2DE}"/>
    <hyperlink ref="H51" r:id="rId48" display="https://www.grainger.com/product/31JG65?RIID=51819294775&amp;GID=729415832&amp;mid=ShipConfirmation_REST&amp;rfe=f4552f2692caa603b91b9a50ab8ce941f1aa011dbe78b4501c3d4e8d9b0476ef&amp;gucid=EMT:11127411:Item:CSM-329&amp;emcid=NA:Item-LC_Test" xr:uid="{9F2F9F20-0D45-4EB9-A314-8B975C928669}"/>
    <hyperlink ref="H52" r:id="rId49" display="https://www.grainger.com/product/31JG35?RIID=51819294775&amp;GID=729415832&amp;mid=ShipConfirmation_REST&amp;rfe=f4552f2692caa603b91b9a50ab8ce941f1aa011dbe78b4501c3d4e8d9b0476ef&amp;gucid=EMT:11127411:Item:CSM-329&amp;emcid=NA:Item-LC_Test" xr:uid="{573F25E7-F5CC-4A3D-BDDD-2824925FA2B6}"/>
    <hyperlink ref="H53" r:id="rId50" display="https://www.grainger.com/product/1RUZ1?RIID=51819294775&amp;GID=729415832&amp;mid=ShipConfirmation_REST&amp;rfe=f4552f2692caa603b91b9a50ab8ce941f1aa011dbe78b4501c3d4e8d9b0476ef&amp;gucid=EMT:11127411:Item:CSM-329&amp;emcid=NA:Item-LC_Test" xr:uid="{FF0AC382-9D17-46F8-A08A-E2C360E8BB48}"/>
    <hyperlink ref="H54" r:id="rId51" display="https://www.grainger.com/product/48XH63?RIID=51819294775&amp;GID=729415832&amp;mid=ShipConfirmation_REST&amp;rfe=f4552f2692caa603b91b9a50ab8ce941f1aa011dbe78b4501c3d4e8d9b0476ef&amp;gucid=EMT:11127411:Item:CSM-329&amp;emcid=NA:Item-LC_Test" xr:uid="{6E335A2D-3029-48B6-9916-A7E53114C4EC}"/>
    <hyperlink ref="H55" r:id="rId52" display="https://www.ebay.com/itm/166028064956?_skw=FLR7330D&amp;itmmeta=01KJG8GWDT78Z7AJAH1V586M94&amp;hash=item26a80b38bc:g:WSIAAOSwfhRkNdtN&amp;itmprp=enc%3AAQALAAAA4GfYFPkwiKCW4ZNSs2u11xC6k1jgwqOCn91%2FYMj34QJkbpaOWvcvEPuIyf%2BbKwLFv8nxLRBLlmbXQXbqQstztag9q4rzEfbIuzZwtKZ5YI8PzZL3ahcqloBiyjYO9yzR33RozoWdcCwHvywA%2FDMat7he9%2FlONk7zWHsZmSOxlEySo%2FZPKUsU3D8hUapdc3MBDNWsVvFMkgo1Jm%2Fau4RDa7cfsnVrbiWA72SjG1DpwOE2a07rpjSYp23Dumo5EhgRtL5by8jwvWV45fH4Fna7kfIe8nr%2Fa6JtefXV7l8cDNlf%7Ctkp%3ABk9SR_zHw4iUZw" xr:uid="{34D40D12-6206-4D5D-8C98-4ED47B0FAA6A}"/>
    <hyperlink ref="H56" r:id="rId53" display="https://www.grainger.com/product/1VGT7?RIID=51819294775&amp;GID=729415832&amp;mid=OrderConfirmation_REST&amp;rfe=846af193db4b9fe8ece7af7398118558bf0aa4ab99f90e9dc4c14e3389ebe8a4&amp;gucid=EMT:11126144:Item:CSM-323&amp;emcid=NA:Item" xr:uid="{CDF2CF98-9E99-4D7F-8AB3-5FA5EC3C3E7E}"/>
    <hyperlink ref="H57" r:id="rId54" display="https://www.grainger.com/product/4UEG9?RIID=51819294775&amp;GID=729415832&amp;mid=OrderConfirmation_REST&amp;rfe=846af193db4b9fe8ece7af7398118558bf0aa4ab99f90e9dc4c14e3389ebe8a4&amp;gucid=EMT:11126144:Item:CSM-323&amp;emcid=NA:Item" xr:uid="{2C5C0B42-EED2-4B2D-9C38-701EE47A14AB}"/>
    <hyperlink ref="H58" r:id="rId55" display="https://www.grainger.com/product/10W669?RIID=51819294775&amp;GID=729415832&amp;mid=OrderConfirmation_REST&amp;rfe=846af193db4b9fe8ece7af7398118558bf0aa4ab99f90e9dc4c14e3389ebe8a4&amp;gucid=EMT:11126144:Item:CSM-323&amp;emcid=NA:Item" xr:uid="{9A8F4D20-E234-4D8B-B0BC-3D35BDAC18ED}"/>
    <hyperlink ref="H59" r:id="rId56" display="https://www.grainger.com/product/40TW73?RIID=51819294775&amp;GID=729415832&amp;mid=OrderConfirmation_REST&amp;rfe=846af193db4b9fe8ece7af7398118558bf0aa4ab99f90e9dc4c14e3389ebe8a4&amp;gucid=EMT:11126144:Item:CSM-323&amp;emcid=NA:Item" xr:uid="{98E9C96B-865A-48D1-B4DF-E06C14C893C4}"/>
    <hyperlink ref="H60" r:id="rId57" display="https://www.grainger.com/product/30PK27?RIID=51819294775&amp;GID=729415832&amp;mid=OrderConfirmation_REST&amp;rfe=846af193db4b9fe8ece7af7398118558bf0aa4ab99f90e9dc4c14e3389ebe8a4&amp;gucid=EMT:11126144:Item:CSM-323&amp;emcid=NA:Item" xr:uid="{C64E454D-EE5D-44BF-9377-E0A023618D8A}"/>
    <hyperlink ref="H61" r:id="rId58" display="https://www.grainger.com/product/854J80?RIID=51819294775&amp;GID=729415832&amp;mid=OrderConfirmation_REST&amp;rfe=846af193db4b9fe8ece7af7398118558bf0aa4ab99f90e9dc4c14e3389ebe8a4&amp;gucid=EMT:11126144:Item:CSM-323&amp;emcid=NA:Item" xr:uid="{B11612B5-64B9-45AF-B944-DAEB83EC81FD}"/>
    <hyperlink ref="H62" r:id="rId59" display="https://www.grainger.com/product/39F868?RIID=51819294775&amp;GID=729415832&amp;mid=OrderConfirmation_REST&amp;rfe=44f11199fadbcf147fda723c62c47a7f8f9c1ba8a466d6b3c04e15e2f492c78d&amp;gucid=EMT:11126144:Item:CSM-323&amp;emcid=NA:Item" xr:uid="{6ACD6CFA-0788-4F10-9382-17342E872581}"/>
    <hyperlink ref="H63" r:id="rId60" display="https://www.grainger.com/product/4AUW6?RIID=51819294775&amp;GID=729415832&amp;mid=OrderConfirmation_REST&amp;rfe=44f11199fadbcf147fda723c62c47a7f8f9c1ba8a466d6b3c04e15e2f492c78d&amp;gucid=EMT:11126144:Item:CSM-323&amp;emcid=NA:Item" xr:uid="{FF58207E-AE94-427B-879B-6B1BDFA336EB}"/>
    <hyperlink ref="H64" r:id="rId61" display="https://www.grainger.com/product/22FP84?RIID=51819294775&amp;GID=729415832&amp;mid=OrderConfirmation_REST&amp;rfe=44f11199fadbcf147fda723c62c47a7f8f9c1ba8a466d6b3c04e15e2f492c78d&amp;gucid=EMT:11126144:Item:CSM-323&amp;emcid=NA:Item" xr:uid="{E3CF9627-C9ED-4C97-B9C8-2133047E265C}"/>
    <hyperlink ref="H65" r:id="rId62" display="https://www.grainger.com/product/6AFL8?RIID=51819294775&amp;GID=729415832&amp;mid=OrderConfirmation_REST&amp;rfe=e26a9d15005b14a2115fa5cf04e2db1f77908f435ad573cd00d2c46a5d28a1da&amp;gucid=EMT:11126144:Item:CSM-323&amp;emcid=NA:Item" xr:uid="{F7940E67-E8E2-4681-B550-43FFC252A624}"/>
    <hyperlink ref="H66" r:id="rId63" display="https://www.grainger.com/product/60WH38?RIID=51819294775&amp;GID=729415832&amp;mid=OrderConfirmation_REST&amp;rfe=e26a9d15005b14a2115fa5cf04e2db1f77908f435ad573cd00d2c46a5d28a1da&amp;gucid=EMT:11126144:Item:CSM-323&amp;emcid=NA:Item" xr:uid="{4B6121D0-9FCC-4B36-8199-D4C6D524A1AC}"/>
    <hyperlink ref="H67" r:id="rId64" display="https://www.grainger.com/product/13Y906?RIID=51819294775&amp;GID=729415832&amp;mid=OrderConfirmation_REST&amp;rfe=e26a9d15005b14a2115fa5cf04e2db1f77908f435ad573cd00d2c46a5d28a1da&amp;gucid=EMT:11126144:Item:CSM-323&amp;emcid=NA:Item" xr:uid="{E8007AF5-E9EF-45C2-BF61-670C858EFC95}"/>
    <hyperlink ref="H68" r:id="rId65" display="https://www.grainger.com/product/6AFP2?RIID=51819294775&amp;GID=729415832&amp;mid=OrderConfirmation_REST&amp;rfe=e26a9d15005b14a2115fa5cf04e2db1f77908f435ad573cd00d2c46a5d28a1da&amp;gucid=EMT:11126144:Item:CSM-323&amp;emcid=NA:Item" xr:uid="{83727241-16CF-45A8-9B20-79BC1EB4606D}"/>
    <hyperlink ref="H69" r:id="rId66" display="https://www.grainger.com/product/1RVC2?RIID=51819294775&amp;GID=729415832&amp;mid=OrderConfirmation_REST&amp;rfe=e26a9d15005b14a2115fa5cf04e2db1f77908f435ad573cd00d2c46a5d28a1da&amp;gucid=EMT:11126144:Item:CSM-323&amp;emcid=NA:Item" xr:uid="{0EF66710-DA14-4FAE-A639-5AE041015A50}"/>
    <hyperlink ref="H70" r:id="rId67" display="https://www.grainger.com/product/1RVC1?RIID=51819294775&amp;GID=729415832&amp;mid=OrderConfirmation_REST&amp;rfe=e26a9d15005b14a2115fa5cf04e2db1f77908f435ad573cd00d2c46a5d28a1da&amp;gucid=EMT:11126144:Item:CSM-323&amp;emcid=NA:Item" xr:uid="{0CE89F6F-5243-4827-9AA1-CC5291A5D74C}"/>
    <hyperlink ref="H71" r:id="rId68" display="https://www.grainger.com/product/793VU2?RIID=51819294775&amp;GID=729415832&amp;mid=OrderConfirmation_REST&amp;rfe=339eda075223b1db0bdb6be138010ac778453f7afa08f51021b907c8267622ac&amp;gucid=EMT:11126144:Item:CSM-323&amp;emcid=NA:Item" xr:uid="{70309844-F9AD-4F68-B317-C4BFA887DAF4}"/>
    <hyperlink ref="H72" r:id="rId69" display="https://www.grainger.com/product/31JG34?RIID=51819294775&amp;GID=729415832&amp;mid=OrderConfirmation_REST&amp;rfe=339eda075223b1db0bdb6be138010ac778453f7afa08f51021b907c8267622ac&amp;gucid=EMT:11126144:Item:CSM-323&amp;emcid=NA:Item" xr:uid="{13273CB0-F8D9-4BF0-AFDE-5C7988452DC6}"/>
    <hyperlink ref="H73" r:id="rId70" display="https://www.grainger.com/product/5YE11?RIID=51819294775&amp;GID=729415832&amp;mid=OrderConfirmation_REST&amp;rfe=339eda075223b1db0bdb6be138010ac778453f7afa08f51021b907c8267622ac&amp;gucid=EMT:11126144:Item:CSM-323&amp;emcid=NA:Item" xr:uid="{AEB60152-3CF9-4664-BD4C-B68028EE3387}"/>
    <hyperlink ref="H74" r:id="rId71" display="https://www.grainger.com/product/22UG07?RIID=51819294775&amp;GID=729415832&amp;mid=OrderConfirmation_REST&amp;rfe=339eda075223b1db0bdb6be138010ac778453f7afa08f51021b907c8267622ac&amp;gucid=EMT:11126144:Item:CSM-323&amp;emcid=NA:Item" xr:uid="{9B0A2BAD-4401-4994-85A4-25BF1DCCF316}"/>
    <hyperlink ref="H75" r:id="rId72" display="https://www.grainger.com/product/3AUW4?RIID=51819294775&amp;GID=729415832&amp;mid=OrderConfirmation_REST&amp;rfe=339eda075223b1db0bdb6be138010ac778453f7afa08f51021b907c8267622ac&amp;gucid=EMT:11126144:Item:CSM-323&amp;emcid=NA:Item" xr:uid="{3DF31A82-832A-48D0-819C-895A218D74CB}"/>
    <hyperlink ref="H76" r:id="rId73" display="https://www.grainger.com/product/30F070?RIID=51819294775&amp;GID=729415832&amp;mid=OrderConfirmation_REST&amp;rfe=9be46b296dc7112876cd89c7aa512d9b14c9ff7a436270bdf4adc81a35dc5fc1&amp;gucid=EMT:11126144:Item:CSM-323&amp;emcid=NA:Item" xr:uid="{6350CE8F-C39A-4838-8085-7583E33E1B55}"/>
    <hyperlink ref="H77" r:id="rId74" display="https://www.grainger.com/product/31JG71?RIID=51819294775&amp;GID=729415832&amp;mid=OrderConfirmation_REST&amp;rfe=9be46b296dc7112876cd89c7aa512d9b14c9ff7a436270bdf4adc81a35dc5fc1&amp;gucid=EMT:11126144:Item:CSM-323&amp;emcid=NA:Item" xr:uid="{B2F2FAE8-FCA7-43C1-8B14-047A679D1A1C}"/>
    <hyperlink ref="H78" r:id="rId75" display="https://www.grainger.com/product/10W663?RIID=51819294775&amp;GID=729415832&amp;mid=OrderConfirmation_REST&amp;rfe=9be46b296dc7112876cd89c7aa512d9b14c9ff7a436270bdf4adc81a35dc5fc1&amp;gucid=EMT:11126144:Item:CSM-323&amp;emcid=NA:Item" xr:uid="{E6823400-29DE-4369-BEBA-FE228EBA0595}"/>
    <hyperlink ref="H79" r:id="rId76" display="https://www.grainger.com/product/6MX55?RIID=51819294775&amp;GID=729415832&amp;mid=OrderConfirmation_REST&amp;rfe=ac232cc7b935c7736f4435c50323bb59f2921ffb94961f879b251578be9b251d&amp;gucid=EMT:11126144:Item:CSM-323&amp;emcid=NA:Item" xr:uid="{A068C3C7-416A-4644-8A3E-8A5B60F6E577}"/>
    <hyperlink ref="H80" r:id="rId77" display="https://www.grainger.com/product/6MX66?RIID=51819294775&amp;GID=729415832&amp;mid=OrderConfirmation_REST&amp;rfe=ac232cc7b935c7736f4435c50323bb59f2921ffb94961f879b251578be9b251d&amp;gucid=EMT:11126144:Item:CSM-323&amp;emcid=NA:Item" xr:uid="{9BDC0474-F8AA-42E8-AA4C-3FB0B239D0EB}"/>
    <hyperlink ref="H81" r:id="rId78" display="https://www.grainger.com/product/30WH23?RIID=51819294775&amp;GID=729415832&amp;mid=OrderConfirmation_REST&amp;rfe=ac232cc7b935c7736f4435c50323bb59f2921ffb94961f879b251578be9b251d&amp;gucid=EMT:11126144:Item:CSM-323&amp;emcid=NA:Item" xr:uid="{F6EB9A0D-95D0-4302-BA6B-93115F2D0D92}"/>
    <hyperlink ref="H82" r:id="rId79" display="https://www.grainger.com/product/782G46?RIID=51819294775&amp;GID=729415832&amp;mid=OrderConfirmation_REST&amp;rfe=ac232cc7b935c7736f4435c50323bb59f2921ffb94961f879b251578be9b251d&amp;gucid=EMT:11126144:Item:CSM-323&amp;emcid=NA:Item" xr:uid="{3CB9B488-D160-430F-A7B3-E574CF3DC7B3}"/>
    <hyperlink ref="H83" r:id="rId80" display="https://www.grainger.com/product/1RTU2?RIID=51819294775&amp;GID=729415832&amp;mid=OrderConfirmation_REST&amp;rfe=ac232cc7b935c7736f4435c50323bb59f2921ffb94961f879b251578be9b251d&amp;gucid=EMT:11126144:Item:CSM-323&amp;emcid=NA:Item" xr:uid="{438BC4CB-21A0-4E54-81B5-59D1FD8E0FFC}"/>
    <hyperlink ref="H84" r:id="rId81" display="https://www.grainger.com/product/18Z758?RIID=51819294775&amp;GID=729415832&amp;mid=OrderConfirmation_REST&amp;rfe=ac232cc7b935c7736f4435c50323bb59f2921ffb94961f879b251578be9b251d&amp;gucid=EMT:11126144:Item:CSM-323&amp;emcid=NA:Item" xr:uid="{F735F3EF-513F-4B39-BCF3-7C6B30033AA4}"/>
    <hyperlink ref="H85" r:id="rId82" display="https://www.grainger.com/product/793MY3?RIID=51819294775&amp;GID=729415832&amp;mid=OrderConfirmation_REST&amp;rfe=ac232cc7b935c7736f4435c50323bb59f2921ffb94961f879b251578be9b251d&amp;gucid=EMT:11126144:Item:CSM-323&amp;emcid=NA:Item" xr:uid="{9316603C-40C5-4090-810E-52CCB143DAE0}"/>
    <hyperlink ref="H86" r:id="rId83" display="https://www.grainger.com/product/5P553?RIID=51819294775&amp;GID=729415832&amp;mid=OrderConfirmation_REST&amp;rfe=ac232cc7b935c7736f4435c50323bb59f2921ffb94961f879b251578be9b251d&amp;gucid=EMT:11126144:Item:CSM-323&amp;emcid=NA:Item" xr:uid="{C505CDFE-DDD5-4CEE-8171-D8343357711A}"/>
    <hyperlink ref="H87" r:id="rId84" display="https://www.ebay.com/itm/156665159304?mkevt=1&amp;mkpid=0&amp;emsid=e11401.m144671.l197929&amp;mkcid=7&amp;ch=osgood&amp;euid=a26e1d74063a472780504955de39c54a&amp;bu=45863828724&amp;osub=-1~1&amp;crd=20260413064227&amp;segname=11401" xr:uid="{9043D6CE-C037-4F68-A408-ABD1738C2ED4}"/>
    <hyperlink ref="H88" r:id="rId85" display="https://www.grainger.com/product/46M483?RIID=51819294775&amp;GID=729415832&amp;mid=OrderConfirmation_REST&amp;rfe=6d4e1d7881c4014dc580a65ce33a0287e6d4e842f558a81fadd5dcde7a752909&amp;gucid=EMT:11126144:Item:CSM-323&amp;emcid=NA:Item" xr:uid="{9A1E2412-DE17-4464-961F-54F992F599EC}"/>
    <hyperlink ref="H89" r:id="rId86" display="https://www.grainger.com/product/1VFX8?RIID=51819294775&amp;GID=729415832&amp;mid=OrderConfirmation_REST&amp;rfe=6d4e1d7881c4014dc580a65ce33a0287e6d4e842f558a81fadd5dcde7a752909&amp;gucid=EMT:11126144:Item:CSM-323&amp;emcid=NA:Item" xr:uid="{D3D4B9F2-6DDF-4A3E-8891-667DD51568E1}"/>
    <hyperlink ref="H90" r:id="rId87" display="https://www.dwyeromega.com/en-us/oem-style-compact-pressure-transmitters/PX119/p/PX159A-060G5V" xr:uid="{7406E4D6-AF5F-4863-98E5-9129F3FB0E14}"/>
    <hyperlink ref="H91" r:id="rId88" display="https://www.grainger.com/product/Hex-Tap-Bolt-Stainless-Steel-41UH04?gucid=n:n:em:owned:wwg:deliveryConfirmation:apz_1&amp;emcid=body:pdpurl" xr:uid="{BC577DBB-C3C4-4BA5-A2C0-54F385160057}"/>
  </hyperlinks>
  <pageMargins left="0.7" right="0.7" top="0.75" bottom="0.75" header="0.3" footer="0.3"/>
  <pageSetup orientation="portrait" horizontalDpi="300" verticalDpi="300" r:id="rId89"/>
  <tableParts count="1">
    <tablePart r:id="rId9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8669689BEAFE438DBD349C08CEE5F2" ma:contentTypeVersion="14" ma:contentTypeDescription="Create a new document." ma:contentTypeScope="" ma:versionID="daa925b7f95c435ddc1e3b38277fc1f5">
  <xsd:schema xmlns:xsd="http://www.w3.org/2001/XMLSchema" xmlns:xs="http://www.w3.org/2001/XMLSchema" xmlns:p="http://schemas.microsoft.com/office/2006/metadata/properties" xmlns:ns3="a069c442-18bd-4204-a2fd-95cc5b8f3ce0" xmlns:ns4="372d4d1f-bf4b-4b61-93e3-b2d4665d913d" targetNamespace="http://schemas.microsoft.com/office/2006/metadata/properties" ma:root="true" ma:fieldsID="328b040e8ff99d7c8f9323c8ac73b822" ns3:_="" ns4:_="">
    <xsd:import namespace="a069c442-18bd-4204-a2fd-95cc5b8f3ce0"/>
    <xsd:import namespace="372d4d1f-bf4b-4b61-93e3-b2d4665d913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69c442-18bd-4204-a2fd-95cc5b8f3c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2d4d1f-bf4b-4b61-93e3-b2d4665d91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069c442-18bd-4204-a2fd-95cc5b8f3ce0" xsi:nil="true"/>
  </documentManagement>
</p:properties>
</file>

<file path=customXml/itemProps1.xml><?xml version="1.0" encoding="utf-8"?>
<ds:datastoreItem xmlns:ds="http://schemas.openxmlformats.org/officeDocument/2006/customXml" ds:itemID="{F1C01734-8690-4AE6-9DF7-41A96DD443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69c442-18bd-4204-a2fd-95cc5b8f3ce0"/>
    <ds:schemaRef ds:uri="372d4d1f-bf4b-4b61-93e3-b2d4665d91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1386DF-6149-493B-8D69-8EB1673052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813B4D-1905-41C2-888E-258A5C6B68F1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372d4d1f-bf4b-4b61-93e3-b2d4665d913d"/>
    <ds:schemaRef ds:uri="http://purl.org/dc/dcmitype/"/>
    <ds:schemaRef ds:uri="http://purl.org/dc/elements/1.1/"/>
    <ds:schemaRef ds:uri="a069c442-18bd-4204-a2fd-95cc5b8f3ce0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(from 9-26) Updated 6-3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Hancock, Dan</dc:creator>
  <cp:keywords/>
  <dc:description/>
  <cp:lastModifiedBy>Huebner, Drew</cp:lastModifiedBy>
  <cp:revision/>
  <cp:lastPrinted>2026-06-03T17:38:41Z</cp:lastPrinted>
  <dcterms:created xsi:type="dcterms:W3CDTF">2025-03-06T14:44:50Z</dcterms:created>
  <dcterms:modified xsi:type="dcterms:W3CDTF">2026-06-03T17:38:41Z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0x0101002B8669689BEAFE438DBD349C08CEE5F2</vt:lpwstr>
  </property>
</Properties>
</file>